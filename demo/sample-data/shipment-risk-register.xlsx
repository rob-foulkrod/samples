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ipment Register" sheetId="1" state="visible" r:id="rId1"/>
    <sheet xmlns:r="http://schemas.openxmlformats.org/officeDocument/2006/relationships" name="Reference Data" sheetId="2" state="visible" r:id="rId2"/>
    <sheet xmlns:r="http://schemas.openxmlformats.org/officeDocument/2006/relationships" name="Summary" sheetId="3" state="visible" r:id="rId3"/>
  </sheets>
  <definedNames>
    <definedName name="_xlnm._FilterDatabase" localSheetId="0" hidden="1">'Shipment Register'!$A$1:$P$121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b val="1"/>
      <sz val="10"/>
    </font>
    <font>
      <name val="Calibri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Shipments by Corridor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'Summary'!$D$4:$D$9</f>
            </numRef>
          </cat>
          <val>
            <numRef>
              <f>'Summary'!$E$4:$E$9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Corridor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Shipments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hipmentRegister" displayName="ShipmentRegister" ref="A1:P121" headerRowCount="1">
  <autoFilter ref="A1:P121"/>
  <tableColumns count="16">
    <tableColumn id="1" name="Shipment ID"/>
    <tableColumn id="2" name="Commodity"/>
    <tableColumn id="3" name="Corridor"/>
    <tableColumn id="4" name="Origin"/>
    <tableColumn id="5" name="Destination"/>
    <tableColumn id="6" name="Customer"/>
    <tableColumn id="7" name="Customer Tier"/>
    <tableColumn id="8" name="Delivery Window"/>
    <tableColumn id="9" name="Quantity MT"/>
    <tableColumn id="10" name="Contract Value USD"/>
    <tableColumn id="11" name="Inventory Buffer Days"/>
    <tableColumn id="12" name="Delay Risk"/>
    <tableColumn id="13" name="Sustainability Exception"/>
    <tableColumn id="14" name="Owner"/>
    <tableColumn id="15" name="Risk Score"/>
    <tableColumn id="16" name="Recommended Actio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14" customWidth="1" min="9" max="9"/>
    <col width="20" customWidth="1" min="10" max="10"/>
    <col width="23" customWidth="1" min="11" max="11"/>
    <col width="14" customWidth="1" min="12" max="12"/>
    <col width="26" customWidth="1" min="13" max="13"/>
    <col width="14" customWidth="1" min="14" max="14"/>
    <col width="14" customWidth="1" min="15" max="15"/>
    <col width="20" customWidth="1" min="16" max="16"/>
  </cols>
  <sheetData>
    <row r="1">
      <c r="A1" s="1" t="inlineStr">
        <is>
          <t>Shipment ID</t>
        </is>
      </c>
      <c r="B1" s="1" t="inlineStr">
        <is>
          <t>Commodity</t>
        </is>
      </c>
      <c r="C1" s="1" t="inlineStr">
        <is>
          <t>Corridor</t>
        </is>
      </c>
      <c r="D1" s="1" t="inlineStr">
        <is>
          <t>Origin</t>
        </is>
      </c>
      <c r="E1" s="1" t="inlineStr">
        <is>
          <t>Destination</t>
        </is>
      </c>
      <c r="F1" s="1" t="inlineStr">
        <is>
          <t>Customer</t>
        </is>
      </c>
      <c r="G1" s="1" t="inlineStr">
        <is>
          <t>Customer Tier</t>
        </is>
      </c>
      <c r="H1" s="1" t="inlineStr">
        <is>
          <t>Delivery Window</t>
        </is>
      </c>
      <c r="I1" s="1" t="inlineStr">
        <is>
          <t>Quantity MT</t>
        </is>
      </c>
      <c r="J1" s="1" t="inlineStr">
        <is>
          <t>Contract Value USD</t>
        </is>
      </c>
      <c r="K1" s="1" t="inlineStr">
        <is>
          <t>Inventory Buffer Days</t>
        </is>
      </c>
      <c r="L1" s="1" t="inlineStr">
        <is>
          <t>Delay Risk</t>
        </is>
      </c>
      <c r="M1" s="1" t="inlineStr">
        <is>
          <t>Sustainability Exception</t>
        </is>
      </c>
      <c r="N1" s="1" t="inlineStr">
        <is>
          <t>Owner</t>
        </is>
      </c>
      <c r="O1" s="1" t="inlineStr">
        <is>
          <t>Risk Score</t>
        </is>
      </c>
      <c r="P1" s="1" t="inlineStr">
        <is>
          <t>Recommended Action</t>
        </is>
      </c>
    </row>
    <row r="2">
      <c r="A2" s="2" t="inlineStr">
        <is>
          <t>NGX-2026-0001</t>
        </is>
      </c>
      <c r="B2" s="2" t="inlineStr">
        <is>
          <t>Rice</t>
        </is>
      </c>
      <c r="C2" s="2" t="inlineStr">
        <is>
          <t>Lower Mississippi Barge</t>
        </is>
      </c>
      <c r="D2" s="2" t="inlineStr">
        <is>
          <t>Davenport IA</t>
        </is>
      </c>
      <c r="E2" s="2" t="inlineStr">
        <is>
          <t>Harborview Milling</t>
        </is>
      </c>
      <c r="F2" s="2" t="inlineStr">
        <is>
          <t>Bluewater Foods</t>
        </is>
      </c>
      <c r="G2" s="2" t="inlineStr">
        <is>
          <t>Standard</t>
        </is>
      </c>
      <c r="H2" s="2" t="inlineStr">
        <is>
          <t>2026-09-18</t>
        </is>
      </c>
      <c r="I2" s="2" t="n">
        <v>611</v>
      </c>
      <c r="J2" s="2" t="n">
        <v>400205</v>
      </c>
      <c r="K2" s="2" t="n">
        <v>0</v>
      </c>
      <c r="L2" s="2" t="inlineStr">
        <is>
          <t>Moderate</t>
        </is>
      </c>
      <c r="M2" s="2" t="inlineStr">
        <is>
          <t>Chain-of-custody gap</t>
        </is>
      </c>
      <c r="N2" s="2" t="inlineStr">
        <is>
          <t>Evan Brooks</t>
        </is>
      </c>
      <c r="O2" s="2">
        <f>IF(L2="Critical",45,IF(L2="High",32,IF(L2="Moderate",18,8)))+IF(K2&lt;2,20,IF(K2&lt;5,10,0))+IF(M2="None",0,18)+IF(G2="Strategic",12,IF(G2="Premium",8,4))</f>
        <v/>
      </c>
      <c r="P2" s="2">
        <f>IF(O2&gt;=75,"Escalate today",IF(O2&gt;=55,"Intervene in 72 hours",IF(O2&gt;=35,"Monitor daily","On track")))</f>
        <v/>
      </c>
    </row>
    <row r="3">
      <c r="A3" s="2" t="inlineStr">
        <is>
          <t>NGX-2026-0002</t>
        </is>
      </c>
      <c r="B3" s="2" t="inlineStr">
        <is>
          <t>Soft Red Winter Wheat</t>
        </is>
      </c>
      <c r="C3" s="2" t="inlineStr">
        <is>
          <t>Gulf Export</t>
        </is>
      </c>
      <c r="D3" s="2" t="inlineStr">
        <is>
          <t>Memphis TN</t>
        </is>
      </c>
      <c r="E3" s="2" t="inlineStr">
        <is>
          <t>New Orleans Terminal</t>
        </is>
      </c>
      <c r="F3" s="2" t="inlineStr">
        <is>
          <t>Harborview Milling</t>
        </is>
      </c>
      <c r="G3" s="2" t="inlineStr">
        <is>
          <t>Strategic</t>
        </is>
      </c>
      <c r="H3" s="2" t="inlineStr">
        <is>
          <t>2026-09-13</t>
        </is>
      </c>
      <c r="I3" s="2" t="n">
        <v>3534</v>
      </c>
      <c r="J3" s="2" t="n">
        <v>1717524</v>
      </c>
      <c r="K3" s="2" t="n">
        <v>1</v>
      </c>
      <c r="L3" s="2" t="inlineStr">
        <is>
          <t>High</t>
        </is>
      </c>
      <c r="M3" s="2" t="inlineStr">
        <is>
          <t>Chain-of-custody gap</t>
        </is>
      </c>
      <c r="N3" s="2" t="inlineStr">
        <is>
          <t>Priya Raman</t>
        </is>
      </c>
      <c r="O3" s="2">
        <f>IF(L3="Critical",45,IF(L3="High",32,IF(L3="Moderate",18,8)))+IF(K3&lt;2,20,IF(K3&lt;5,10,0))+IF(M3="None",0,18)+IF(G3="Strategic",12,IF(G3="Premium",8,4))</f>
        <v/>
      </c>
      <c r="P3" s="2">
        <f>IF(O3&gt;=75,"Escalate today",IF(O3&gt;=55,"Intervene in 72 hours",IF(O3&gt;=35,"Monitor daily","On track")))</f>
        <v/>
      </c>
    </row>
    <row r="4">
      <c r="A4" s="2" t="inlineStr">
        <is>
          <t>NGX-2026-0003</t>
        </is>
      </c>
      <c r="B4" s="2" t="inlineStr">
        <is>
          <t>Soybean Meal</t>
        </is>
      </c>
      <c r="C4" s="2" t="inlineStr">
        <is>
          <t>Upper Midwest Feed</t>
        </is>
      </c>
      <c r="D4" s="2" t="inlineStr">
        <is>
          <t>Portland OR</t>
        </is>
      </c>
      <c r="E4" s="2" t="inlineStr">
        <is>
          <t>Crescent Bakery Group</t>
        </is>
      </c>
      <c r="F4" s="2" t="inlineStr">
        <is>
          <t>Crescent Bakery Group</t>
        </is>
      </c>
      <c r="G4" s="2" t="inlineStr">
        <is>
          <t>Premium</t>
        </is>
      </c>
      <c r="H4" s="2" t="inlineStr">
        <is>
          <t>2026-09-16</t>
        </is>
      </c>
      <c r="I4" s="2" t="n">
        <v>2989</v>
      </c>
      <c r="J4" s="2" t="n">
        <v>1990674</v>
      </c>
      <c r="K4" s="2" t="n">
        <v>4</v>
      </c>
      <c r="L4" s="2" t="inlineStr">
        <is>
          <t>High</t>
        </is>
      </c>
      <c r="M4" s="2" t="inlineStr">
        <is>
          <t>Document review</t>
        </is>
      </c>
      <c r="N4" s="2" t="inlineStr">
        <is>
          <t>Lena Ortiz</t>
        </is>
      </c>
      <c r="O4" s="2">
        <f>IF(L4="Critical",45,IF(L4="High",32,IF(L4="Moderate",18,8)))+IF(K4&lt;2,20,IF(K4&lt;5,10,0))+IF(M4="None",0,18)+IF(G4="Strategic",12,IF(G4="Premium",8,4))</f>
        <v/>
      </c>
      <c r="P4" s="2">
        <f>IF(O4&gt;=75,"Escalate today",IF(O4&gt;=55,"Intervene in 72 hours",IF(O4&gt;=35,"Monitor daily","On track")))</f>
        <v/>
      </c>
    </row>
    <row r="5">
      <c r="A5" s="2" t="inlineStr">
        <is>
          <t>NGX-2026-0004</t>
        </is>
      </c>
      <c r="B5" s="2" t="inlineStr">
        <is>
          <t>Coffee Beans</t>
        </is>
      </c>
      <c r="C5" s="2" t="inlineStr">
        <is>
          <t>Upper Midwest Feed</t>
        </is>
      </c>
      <c r="D5" s="2" t="inlineStr">
        <is>
          <t>Savannah GA</t>
        </is>
      </c>
      <c r="E5" s="2" t="inlineStr">
        <is>
          <t>Bluewater Foods</t>
        </is>
      </c>
      <c r="F5" s="2" t="inlineStr">
        <is>
          <t>Lakeside Protein Co.</t>
        </is>
      </c>
      <c r="G5" s="2" t="inlineStr">
        <is>
          <t>Strategic</t>
        </is>
      </c>
      <c r="H5" s="2" t="inlineStr">
        <is>
          <t>2026-09-07</t>
        </is>
      </c>
      <c r="I5" s="2" t="n">
        <v>1242</v>
      </c>
      <c r="J5" s="2" t="n">
        <v>289386</v>
      </c>
      <c r="K5" s="2" t="n">
        <v>8</v>
      </c>
      <c r="L5" s="2" t="inlineStr">
        <is>
          <t>Critical</t>
        </is>
      </c>
      <c r="M5" s="2" t="inlineStr">
        <is>
          <t>Supplier attestation late</t>
        </is>
      </c>
      <c r="N5" s="2" t="inlineStr">
        <is>
          <t>Evan Brooks</t>
        </is>
      </c>
      <c r="O5" s="2">
        <f>IF(L5="Critical",45,IF(L5="High",32,IF(L5="Moderate",18,8)))+IF(K5&lt;2,20,IF(K5&lt;5,10,0))+IF(M5="None",0,18)+IF(G5="Strategic",12,IF(G5="Premium",8,4))</f>
        <v/>
      </c>
      <c r="P5" s="2">
        <f>IF(O5&gt;=75,"Escalate today",IF(O5&gt;=55,"Intervene in 72 hours",IF(O5&gt;=35,"Monitor daily","On track")))</f>
        <v/>
      </c>
    </row>
    <row r="6">
      <c r="A6" s="2" t="inlineStr">
        <is>
          <t>NGX-2026-0005</t>
        </is>
      </c>
      <c r="B6" s="2" t="inlineStr">
        <is>
          <t>Canola</t>
        </is>
      </c>
      <c r="C6" s="2" t="inlineStr">
        <is>
          <t>Pacific Northwest Rail</t>
        </is>
      </c>
      <c r="D6" s="2" t="inlineStr">
        <is>
          <t>Davenport IA</t>
        </is>
      </c>
      <c r="E6" s="2" t="inlineStr">
        <is>
          <t>Bluewater Foods</t>
        </is>
      </c>
      <c r="F6" s="2" t="inlineStr">
        <is>
          <t>Pioneer Feed Cooperative</t>
        </is>
      </c>
      <c r="G6" s="2" t="inlineStr">
        <is>
          <t>Standard</t>
        </is>
      </c>
      <c r="H6" s="2" t="inlineStr">
        <is>
          <t>2026-09-08</t>
        </is>
      </c>
      <c r="I6" s="2" t="n">
        <v>4455</v>
      </c>
      <c r="J6" s="2" t="n">
        <v>2926935</v>
      </c>
      <c r="K6" s="2" t="n">
        <v>4</v>
      </c>
      <c r="L6" s="2" t="inlineStr">
        <is>
          <t>High</t>
        </is>
      </c>
      <c r="M6" s="2" t="inlineStr">
        <is>
          <t>Chain-of-custody gap</t>
        </is>
      </c>
      <c r="N6" s="2" t="inlineStr">
        <is>
          <t>Evan Brooks</t>
        </is>
      </c>
      <c r="O6" s="2">
        <f>IF(L6="Critical",45,IF(L6="High",32,IF(L6="Moderate",18,8)))+IF(K6&lt;2,20,IF(K6&lt;5,10,0))+IF(M6="None",0,18)+IF(G6="Strategic",12,IF(G6="Premium",8,4))</f>
        <v/>
      </c>
      <c r="P6" s="2">
        <f>IF(O6&gt;=75,"Escalate today",IF(O6&gt;=55,"Intervene in 72 hours",IF(O6&gt;=35,"Monitor daily","On track")))</f>
        <v/>
      </c>
    </row>
    <row r="7">
      <c r="A7" s="2" t="inlineStr">
        <is>
          <t>NGX-2026-0006</t>
        </is>
      </c>
      <c r="B7" s="2" t="inlineStr">
        <is>
          <t>Soybean Meal</t>
        </is>
      </c>
      <c r="C7" s="2" t="inlineStr">
        <is>
          <t>Gulf Export</t>
        </is>
      </c>
      <c r="D7" s="2" t="inlineStr">
        <is>
          <t>Portland OR</t>
        </is>
      </c>
      <c r="E7" s="2" t="inlineStr">
        <is>
          <t>Tacoma Export Pier</t>
        </is>
      </c>
      <c r="F7" s="2" t="inlineStr">
        <is>
          <t>Bluewater Foods</t>
        </is>
      </c>
      <c r="G7" s="2" t="inlineStr">
        <is>
          <t>Strategic</t>
        </is>
      </c>
      <c r="H7" s="2" t="inlineStr">
        <is>
          <t>2026-09-09</t>
        </is>
      </c>
      <c r="I7" s="2" t="n">
        <v>2292</v>
      </c>
      <c r="J7" s="2" t="n">
        <v>634884</v>
      </c>
      <c r="K7" s="2" t="n">
        <v>7</v>
      </c>
      <c r="L7" s="2" t="inlineStr">
        <is>
          <t>Moderate</t>
        </is>
      </c>
      <c r="M7" s="2" t="inlineStr">
        <is>
          <t>Document review</t>
        </is>
      </c>
      <c r="N7" s="2" t="inlineStr">
        <is>
          <t>Priya Raman</t>
        </is>
      </c>
      <c r="O7" s="2">
        <f>IF(L7="Critical",45,IF(L7="High",32,IF(L7="Moderate",18,8)))+IF(K7&lt;2,20,IF(K7&lt;5,10,0))+IF(M7="None",0,18)+IF(G7="Strategic",12,IF(G7="Premium",8,4))</f>
        <v/>
      </c>
      <c r="P7" s="2">
        <f>IF(O7&gt;=75,"Escalate today",IF(O7&gt;=55,"Intervene in 72 hours",IF(O7&gt;=35,"Monitor daily","On track")))</f>
        <v/>
      </c>
    </row>
    <row r="8">
      <c r="A8" s="2" t="inlineStr">
        <is>
          <t>NGX-2026-0007</t>
        </is>
      </c>
      <c r="B8" s="2" t="inlineStr">
        <is>
          <t>Coffee Beans</t>
        </is>
      </c>
      <c r="C8" s="2" t="inlineStr">
        <is>
          <t>Upper Midwest Feed</t>
        </is>
      </c>
      <c r="D8" s="2" t="inlineStr">
        <is>
          <t>Toledo OH</t>
        </is>
      </c>
      <c r="E8" s="2" t="inlineStr">
        <is>
          <t>Tacoma Export Pier</t>
        </is>
      </c>
      <c r="F8" s="2" t="inlineStr">
        <is>
          <t>Evergreen Nutrition</t>
        </is>
      </c>
      <c r="G8" s="2" t="inlineStr">
        <is>
          <t>Premium</t>
        </is>
      </c>
      <c r="H8" s="2" t="inlineStr">
        <is>
          <t>2026-09-09</t>
        </is>
      </c>
      <c r="I8" s="2" t="n">
        <v>1507</v>
      </c>
      <c r="J8" s="2" t="n">
        <v>604307</v>
      </c>
      <c r="K8" s="2" t="n">
        <v>2</v>
      </c>
      <c r="L8" s="2" t="inlineStr">
        <is>
          <t>Critical</t>
        </is>
      </c>
      <c r="M8" s="2" t="inlineStr">
        <is>
          <t>Document review</t>
        </is>
      </c>
      <c r="N8" s="2" t="inlineStr">
        <is>
          <t>Lena Ortiz</t>
        </is>
      </c>
      <c r="O8" s="2">
        <f>IF(L8="Critical",45,IF(L8="High",32,IF(L8="Moderate",18,8)))+IF(K8&lt;2,20,IF(K8&lt;5,10,0))+IF(M8="None",0,18)+IF(G8="Strategic",12,IF(G8="Premium",8,4))</f>
        <v/>
      </c>
      <c r="P8" s="2">
        <f>IF(O8&gt;=75,"Escalate today",IF(O8&gt;=55,"Intervene in 72 hours",IF(O8&gt;=35,"Monitor daily","On track")))</f>
        <v/>
      </c>
    </row>
    <row r="9">
      <c r="A9" s="2" t="inlineStr">
        <is>
          <t>NGX-2026-0008</t>
        </is>
      </c>
      <c r="B9" s="2" t="inlineStr">
        <is>
          <t>Canola</t>
        </is>
      </c>
      <c r="C9" s="2" t="inlineStr">
        <is>
          <t>Gulf Export</t>
        </is>
      </c>
      <c r="D9" s="2" t="inlineStr">
        <is>
          <t>Toledo OH</t>
        </is>
      </c>
      <c r="E9" s="2" t="inlineStr">
        <is>
          <t>Harborview Milling</t>
        </is>
      </c>
      <c r="F9" s="2" t="inlineStr">
        <is>
          <t>Southport Trading House</t>
        </is>
      </c>
      <c r="G9" s="2" t="inlineStr">
        <is>
          <t>Strategic</t>
        </is>
      </c>
      <c r="H9" s="2" t="inlineStr">
        <is>
          <t>2026-09-12</t>
        </is>
      </c>
      <c r="I9" s="2" t="n">
        <v>4861</v>
      </c>
      <c r="J9" s="2" t="n">
        <v>2566608</v>
      </c>
      <c r="K9" s="2" t="n">
        <v>1</v>
      </c>
      <c r="L9" s="2" t="inlineStr">
        <is>
          <t>Moderate</t>
        </is>
      </c>
      <c r="M9" s="2" t="inlineStr">
        <is>
          <t>Document review</t>
        </is>
      </c>
      <c r="N9" s="2" t="inlineStr">
        <is>
          <t>Maya Chen</t>
        </is>
      </c>
      <c r="O9" s="2">
        <f>IF(L9="Critical",45,IF(L9="High",32,IF(L9="Moderate",18,8)))+IF(K9&lt;2,20,IF(K9&lt;5,10,0))+IF(M9="None",0,18)+IF(G9="Strategic",12,IF(G9="Premium",8,4))</f>
        <v/>
      </c>
      <c r="P9" s="2">
        <f>IF(O9&gt;=75,"Escalate today",IF(O9&gt;=55,"Intervene in 72 hours",IF(O9&gt;=35,"Monitor daily","On track")))</f>
        <v/>
      </c>
    </row>
    <row r="10">
      <c r="A10" s="2" t="inlineStr">
        <is>
          <t>NGX-2026-0009</t>
        </is>
      </c>
      <c r="B10" s="2" t="inlineStr">
        <is>
          <t>Canola</t>
        </is>
      </c>
      <c r="C10" s="2" t="inlineStr">
        <is>
          <t>Lower Mississippi Barge</t>
        </is>
      </c>
      <c r="D10" s="2" t="inlineStr">
        <is>
          <t>Fresno CA</t>
        </is>
      </c>
      <c r="E10" s="2" t="inlineStr">
        <is>
          <t>Lakeside Protein Co.</t>
        </is>
      </c>
      <c r="F10" s="2" t="inlineStr">
        <is>
          <t>Bluewater Foods</t>
        </is>
      </c>
      <c r="G10" s="2" t="inlineStr">
        <is>
          <t>Standard</t>
        </is>
      </c>
      <c r="H10" s="2" t="inlineStr">
        <is>
          <t>2026-09-14</t>
        </is>
      </c>
      <c r="I10" s="2" t="n">
        <v>4949</v>
      </c>
      <c r="J10" s="2" t="n">
        <v>1593578</v>
      </c>
      <c r="K10" s="2" t="n">
        <v>8</v>
      </c>
      <c r="L10" s="2" t="inlineStr">
        <is>
          <t>High</t>
        </is>
      </c>
      <c r="M10" s="2" t="inlineStr">
        <is>
          <t>Document review</t>
        </is>
      </c>
      <c r="N10" s="2" t="inlineStr">
        <is>
          <t>Maya Chen</t>
        </is>
      </c>
      <c r="O10" s="2">
        <f>IF(L10="Critical",45,IF(L10="High",32,IF(L10="Moderate",18,8)))+IF(K10&lt;2,20,IF(K10&lt;5,10,0))+IF(M10="None",0,18)+IF(G10="Strategic",12,IF(G10="Premium",8,4))</f>
        <v/>
      </c>
      <c r="P10" s="2">
        <f>IF(O10&gt;=75,"Escalate today",IF(O10&gt;=55,"Intervene in 72 hours",IF(O10&gt;=35,"Monitor daily","On track")))</f>
        <v/>
      </c>
    </row>
    <row r="11">
      <c r="A11" s="2" t="inlineStr">
        <is>
          <t>NGX-2026-0010</t>
        </is>
      </c>
      <c r="B11" s="2" t="inlineStr">
        <is>
          <t>Soybean Meal</t>
        </is>
      </c>
      <c r="C11" s="2" t="inlineStr">
        <is>
          <t>Pacific Northwest Rail</t>
        </is>
      </c>
      <c r="D11" s="2" t="inlineStr">
        <is>
          <t>Fresno CA</t>
        </is>
      </c>
      <c r="E11" s="2" t="inlineStr">
        <is>
          <t>Cedar Valley Feedworks</t>
        </is>
      </c>
      <c r="F11" s="2" t="inlineStr">
        <is>
          <t>Evergreen Nutrition</t>
        </is>
      </c>
      <c r="G11" s="2" t="inlineStr">
        <is>
          <t>Standard</t>
        </is>
      </c>
      <c r="H11" s="2" t="inlineStr">
        <is>
          <t>2026-09-13</t>
        </is>
      </c>
      <c r="I11" s="2" t="n">
        <v>2971</v>
      </c>
      <c r="J11" s="2" t="n">
        <v>748692</v>
      </c>
      <c r="K11" s="2" t="n">
        <v>6</v>
      </c>
      <c r="L11" s="2" t="inlineStr">
        <is>
          <t>Low</t>
        </is>
      </c>
      <c r="M11" s="2" t="inlineStr">
        <is>
          <t>Mass balance variance</t>
        </is>
      </c>
      <c r="N11" s="2" t="inlineStr">
        <is>
          <t>Maya Chen</t>
        </is>
      </c>
      <c r="O11" s="2">
        <f>IF(L11="Critical",45,IF(L11="High",32,IF(L11="Moderate",18,8)))+IF(K11&lt;2,20,IF(K11&lt;5,10,0))+IF(M11="None",0,18)+IF(G11="Strategic",12,IF(G11="Premium",8,4))</f>
        <v/>
      </c>
      <c r="P11" s="2">
        <f>IF(O11&gt;=75,"Escalate today",IF(O11&gt;=55,"Intervene in 72 hours",IF(O11&gt;=35,"Monitor daily","On track")))</f>
        <v/>
      </c>
    </row>
    <row r="12">
      <c r="A12" s="2" t="inlineStr">
        <is>
          <t>NGX-2026-0011</t>
        </is>
      </c>
      <c r="B12" s="2" t="inlineStr">
        <is>
          <t>Corn</t>
        </is>
      </c>
      <c r="C12" s="2" t="inlineStr">
        <is>
          <t>Upper Midwest Feed</t>
        </is>
      </c>
      <c r="D12" s="2" t="inlineStr">
        <is>
          <t>Omaha NE</t>
        </is>
      </c>
      <c r="E12" s="2" t="inlineStr">
        <is>
          <t>Beacon Ingredients</t>
        </is>
      </c>
      <c r="F12" s="2" t="inlineStr">
        <is>
          <t>Crescent Bakery Group</t>
        </is>
      </c>
      <c r="G12" s="2" t="inlineStr">
        <is>
          <t>Premium</t>
        </is>
      </c>
      <c r="H12" s="2" t="inlineStr">
        <is>
          <t>2026-09-19</t>
        </is>
      </c>
      <c r="I12" s="2" t="n">
        <v>332</v>
      </c>
      <c r="J12" s="2" t="n">
        <v>219120</v>
      </c>
      <c r="K12" s="2" t="n">
        <v>0</v>
      </c>
      <c r="L12" s="2" t="inlineStr">
        <is>
          <t>Critical</t>
        </is>
      </c>
      <c r="M12" s="2" t="inlineStr">
        <is>
          <t>Document review</t>
        </is>
      </c>
      <c r="N12" s="2" t="inlineStr">
        <is>
          <t>Lena Ortiz</t>
        </is>
      </c>
      <c r="O12" s="2">
        <f>IF(L12="Critical",45,IF(L12="High",32,IF(L12="Moderate",18,8)))+IF(K12&lt;2,20,IF(K12&lt;5,10,0))+IF(M12="None",0,18)+IF(G12="Strategic",12,IF(G12="Premium",8,4))</f>
        <v/>
      </c>
      <c r="P12" s="2">
        <f>IF(O12&gt;=75,"Escalate today",IF(O12&gt;=55,"Intervene in 72 hours",IF(O12&gt;=35,"Monitor daily","On track")))</f>
        <v/>
      </c>
    </row>
    <row r="13">
      <c r="A13" s="2" t="inlineStr">
        <is>
          <t>NGX-2026-0012</t>
        </is>
      </c>
      <c r="B13" s="2" t="inlineStr">
        <is>
          <t>Cottonseed Meal</t>
        </is>
      </c>
      <c r="C13" s="2" t="inlineStr">
        <is>
          <t>Atlantic Container</t>
        </is>
      </c>
      <c r="D13" s="2" t="inlineStr">
        <is>
          <t>St. Louis MO</t>
        </is>
      </c>
      <c r="E13" s="2" t="inlineStr">
        <is>
          <t>New Orleans Terminal</t>
        </is>
      </c>
      <c r="F13" s="2" t="inlineStr">
        <is>
          <t>Harborview Milling</t>
        </is>
      </c>
      <c r="G13" s="2" t="inlineStr">
        <is>
          <t>Strategic</t>
        </is>
      </c>
      <c r="H13" s="2" t="inlineStr">
        <is>
          <t>2026-09-18</t>
        </is>
      </c>
      <c r="I13" s="2" t="n">
        <v>4724</v>
      </c>
      <c r="J13" s="2" t="n">
        <v>1804568</v>
      </c>
      <c r="K13" s="2" t="n">
        <v>9</v>
      </c>
      <c r="L13" s="2" t="inlineStr">
        <is>
          <t>Critical</t>
        </is>
      </c>
      <c r="M13" s="2" t="inlineStr">
        <is>
          <t>Document review</t>
        </is>
      </c>
      <c r="N13" s="2" t="inlineStr">
        <is>
          <t>Priya Raman</t>
        </is>
      </c>
      <c r="O13" s="2">
        <f>IF(L13="Critical",45,IF(L13="High",32,IF(L13="Moderate",18,8)))+IF(K13&lt;2,20,IF(K13&lt;5,10,0))+IF(M13="None",0,18)+IF(G13="Strategic",12,IF(G13="Premium",8,4))</f>
        <v/>
      </c>
      <c r="P13" s="2">
        <f>IF(O13&gt;=75,"Escalate today",IF(O13&gt;=55,"Intervene in 72 hours",IF(O13&gt;=35,"Monitor daily","On track")))</f>
        <v/>
      </c>
    </row>
    <row r="14">
      <c r="A14" s="2" t="inlineStr">
        <is>
          <t>NGX-2026-0013</t>
        </is>
      </c>
      <c r="B14" s="2" t="inlineStr">
        <is>
          <t>Raw Sugar</t>
        </is>
      </c>
      <c r="C14" s="2" t="inlineStr">
        <is>
          <t>Upper Midwest Feed</t>
        </is>
      </c>
      <c r="D14" s="2" t="inlineStr">
        <is>
          <t>Memphis TN</t>
        </is>
      </c>
      <c r="E14" s="2" t="inlineStr">
        <is>
          <t>Cedar Valley Feedworks</t>
        </is>
      </c>
      <c r="F14" s="2" t="inlineStr">
        <is>
          <t>Pioneer Feed Cooperative</t>
        </is>
      </c>
      <c r="G14" s="2" t="inlineStr">
        <is>
          <t>Standard</t>
        </is>
      </c>
      <c r="H14" s="2" t="inlineStr">
        <is>
          <t>2026-09-17</t>
        </is>
      </c>
      <c r="I14" s="2" t="n">
        <v>3532</v>
      </c>
      <c r="J14" s="2" t="n">
        <v>1617656</v>
      </c>
      <c r="K14" s="2" t="n">
        <v>12</v>
      </c>
      <c r="L14" s="2" t="inlineStr">
        <is>
          <t>High</t>
        </is>
      </c>
      <c r="M14" s="2" t="inlineStr">
        <is>
          <t>Supplier attestation late</t>
        </is>
      </c>
      <c r="N14" s="2" t="inlineStr">
        <is>
          <t>Maya Chen</t>
        </is>
      </c>
      <c r="O14" s="2">
        <f>IF(L14="Critical",45,IF(L14="High",32,IF(L14="Moderate",18,8)))+IF(K14&lt;2,20,IF(K14&lt;5,10,0))+IF(M14="None",0,18)+IF(G14="Strategic",12,IF(G14="Premium",8,4))</f>
        <v/>
      </c>
      <c r="P14" s="2">
        <f>IF(O14&gt;=75,"Escalate today",IF(O14&gt;=55,"Intervene in 72 hours",IF(O14&gt;=35,"Monitor daily","On track")))</f>
        <v/>
      </c>
    </row>
    <row r="15">
      <c r="A15" s="2" t="inlineStr">
        <is>
          <t>NGX-2026-0014</t>
        </is>
      </c>
      <c r="B15" s="2" t="inlineStr">
        <is>
          <t>Cottonseed Meal</t>
        </is>
      </c>
      <c r="C15" s="2" t="inlineStr">
        <is>
          <t>Atlantic Container</t>
        </is>
      </c>
      <c r="D15" s="2" t="inlineStr">
        <is>
          <t>Omaha NE</t>
        </is>
      </c>
      <c r="E15" s="2" t="inlineStr">
        <is>
          <t>Bluewater Foods</t>
        </is>
      </c>
      <c r="F15" s="2" t="inlineStr">
        <is>
          <t>Southport Trading House</t>
        </is>
      </c>
      <c r="G15" s="2" t="inlineStr">
        <is>
          <t>Strategic</t>
        </is>
      </c>
      <c r="H15" s="2" t="inlineStr">
        <is>
          <t>2026-09-14</t>
        </is>
      </c>
      <c r="I15" s="2" t="n">
        <v>1629</v>
      </c>
      <c r="J15" s="2" t="n">
        <v>1044189</v>
      </c>
      <c r="K15" s="2" t="n">
        <v>3</v>
      </c>
      <c r="L15" s="2" t="inlineStr">
        <is>
          <t>Critical</t>
        </is>
      </c>
      <c r="M15" s="2" t="inlineStr">
        <is>
          <t>Mass balance variance</t>
        </is>
      </c>
      <c r="N15" s="2" t="inlineStr">
        <is>
          <t>Noah Whitaker</t>
        </is>
      </c>
      <c r="O15" s="2">
        <f>IF(L15="Critical",45,IF(L15="High",32,IF(L15="Moderate",18,8)))+IF(K15&lt;2,20,IF(K15&lt;5,10,0))+IF(M15="None",0,18)+IF(G15="Strategic",12,IF(G15="Premium",8,4))</f>
        <v/>
      </c>
      <c r="P15" s="2">
        <f>IF(O15&gt;=75,"Escalate today",IF(O15&gt;=55,"Intervene in 72 hours",IF(O15&gt;=35,"Monitor daily","On track")))</f>
        <v/>
      </c>
    </row>
    <row r="16">
      <c r="A16" s="2" t="inlineStr">
        <is>
          <t>NGX-2026-0015</t>
        </is>
      </c>
      <c r="B16" s="2" t="inlineStr">
        <is>
          <t>Raw Sugar</t>
        </is>
      </c>
      <c r="C16" s="2" t="inlineStr">
        <is>
          <t>Pacific Northwest Rail</t>
        </is>
      </c>
      <c r="D16" s="2" t="inlineStr">
        <is>
          <t>Fresno CA</t>
        </is>
      </c>
      <c r="E16" s="2" t="inlineStr">
        <is>
          <t>Beacon Ingredients</t>
        </is>
      </c>
      <c r="F16" s="2" t="inlineStr">
        <is>
          <t>Beacon Ingredients</t>
        </is>
      </c>
      <c r="G16" s="2" t="inlineStr">
        <is>
          <t>Strategic</t>
        </is>
      </c>
      <c r="H16" s="2" t="inlineStr">
        <is>
          <t>2026-09-21</t>
        </is>
      </c>
      <c r="I16" s="2" t="n">
        <v>2718</v>
      </c>
      <c r="J16" s="2" t="n">
        <v>573498</v>
      </c>
      <c r="K16" s="2" t="n">
        <v>11</v>
      </c>
      <c r="L16" s="2" t="inlineStr">
        <is>
          <t>Moderate</t>
        </is>
      </c>
      <c r="M16" s="2" t="inlineStr">
        <is>
          <t>Document review</t>
        </is>
      </c>
      <c r="N16" s="2" t="inlineStr">
        <is>
          <t>Lena Ortiz</t>
        </is>
      </c>
      <c r="O16" s="2">
        <f>IF(L16="Critical",45,IF(L16="High",32,IF(L16="Moderate",18,8)))+IF(K16&lt;2,20,IF(K16&lt;5,10,0))+IF(M16="None",0,18)+IF(G16="Strategic",12,IF(G16="Premium",8,4))</f>
        <v/>
      </c>
      <c r="P16" s="2">
        <f>IF(O16&gt;=75,"Escalate today",IF(O16&gt;=55,"Intervene in 72 hours",IF(O16&gt;=35,"Monitor daily","On track")))</f>
        <v/>
      </c>
    </row>
    <row r="17">
      <c r="A17" s="2" t="inlineStr">
        <is>
          <t>NGX-2026-0016</t>
        </is>
      </c>
      <c r="B17" s="2" t="inlineStr">
        <is>
          <t>Soft Red Winter Wheat</t>
        </is>
      </c>
      <c r="C17" s="2" t="inlineStr">
        <is>
          <t>Gulf Export</t>
        </is>
      </c>
      <c r="D17" s="2" t="inlineStr">
        <is>
          <t>St. Louis MO</t>
        </is>
      </c>
      <c r="E17" s="2" t="inlineStr">
        <is>
          <t>Beacon Ingredients</t>
        </is>
      </c>
      <c r="F17" s="2" t="inlineStr">
        <is>
          <t>Southport Trading House</t>
        </is>
      </c>
      <c r="G17" s="2" t="inlineStr">
        <is>
          <t>Standard</t>
        </is>
      </c>
      <c r="H17" s="2" t="inlineStr">
        <is>
          <t>2026-09-14</t>
        </is>
      </c>
      <c r="I17" s="2" t="n">
        <v>1440</v>
      </c>
      <c r="J17" s="2" t="n">
        <v>504000</v>
      </c>
      <c r="K17" s="2" t="n">
        <v>12</v>
      </c>
      <c r="L17" s="2" t="inlineStr">
        <is>
          <t>Moderate</t>
        </is>
      </c>
      <c r="M17" s="2" t="inlineStr">
        <is>
          <t>None</t>
        </is>
      </c>
      <c r="N17" s="2" t="inlineStr">
        <is>
          <t>Evan Brooks</t>
        </is>
      </c>
      <c r="O17" s="2">
        <f>IF(L17="Critical",45,IF(L17="High",32,IF(L17="Moderate",18,8)))+IF(K17&lt;2,20,IF(K17&lt;5,10,0))+IF(M17="None",0,18)+IF(G17="Strategic",12,IF(G17="Premium",8,4))</f>
        <v/>
      </c>
      <c r="P17" s="2">
        <f>IF(O17&gt;=75,"Escalate today",IF(O17&gt;=55,"Intervene in 72 hours",IF(O17&gt;=35,"Monitor daily","On track")))</f>
        <v/>
      </c>
    </row>
    <row r="18">
      <c r="A18" s="2" t="inlineStr">
        <is>
          <t>NGX-2026-0017</t>
        </is>
      </c>
      <c r="B18" s="2" t="inlineStr">
        <is>
          <t>Rice</t>
        </is>
      </c>
      <c r="C18" s="2" t="inlineStr">
        <is>
          <t>Lower Mississippi Barge</t>
        </is>
      </c>
      <c r="D18" s="2" t="inlineStr">
        <is>
          <t>Portland OR</t>
        </is>
      </c>
      <c r="E18" s="2" t="inlineStr">
        <is>
          <t>New Orleans Terminal</t>
        </is>
      </c>
      <c r="F18" s="2" t="inlineStr">
        <is>
          <t>Crescent Bakery Group</t>
        </is>
      </c>
      <c r="G18" s="2" t="inlineStr">
        <is>
          <t>Standard</t>
        </is>
      </c>
      <c r="H18" s="2" t="inlineStr">
        <is>
          <t>2026-09-18</t>
        </is>
      </c>
      <c r="I18" s="2" t="n">
        <v>3136</v>
      </c>
      <c r="J18" s="2" t="n">
        <v>752640</v>
      </c>
      <c r="K18" s="2" t="n">
        <v>7</v>
      </c>
      <c r="L18" s="2" t="inlineStr">
        <is>
          <t>Moderate</t>
        </is>
      </c>
      <c r="M18" s="2" t="inlineStr">
        <is>
          <t>Mass balance variance</t>
        </is>
      </c>
      <c r="N18" s="2" t="inlineStr">
        <is>
          <t>Lena Ortiz</t>
        </is>
      </c>
      <c r="O18" s="2">
        <f>IF(L18="Critical",45,IF(L18="High",32,IF(L18="Moderate",18,8)))+IF(K18&lt;2,20,IF(K18&lt;5,10,0))+IF(M18="None",0,18)+IF(G18="Strategic",12,IF(G18="Premium",8,4))</f>
        <v/>
      </c>
      <c r="P18" s="2">
        <f>IF(O18&gt;=75,"Escalate today",IF(O18&gt;=55,"Intervene in 72 hours",IF(O18&gt;=35,"Monitor daily","On track")))</f>
        <v/>
      </c>
    </row>
    <row r="19">
      <c r="A19" s="2" t="inlineStr">
        <is>
          <t>NGX-2026-0018</t>
        </is>
      </c>
      <c r="B19" s="2" t="inlineStr">
        <is>
          <t>Soft Red Winter Wheat</t>
        </is>
      </c>
      <c r="C19" s="2" t="inlineStr">
        <is>
          <t>Pacific Northwest Rail</t>
        </is>
      </c>
      <c r="D19" s="2" t="inlineStr">
        <is>
          <t>Fresno CA</t>
        </is>
      </c>
      <c r="E19" s="2" t="inlineStr">
        <is>
          <t>Beacon Ingredients</t>
        </is>
      </c>
      <c r="F19" s="2" t="inlineStr">
        <is>
          <t>Harborview Milling</t>
        </is>
      </c>
      <c r="G19" s="2" t="inlineStr">
        <is>
          <t>Premium</t>
        </is>
      </c>
      <c r="H19" s="2" t="inlineStr">
        <is>
          <t>2026-09-08</t>
        </is>
      </c>
      <c r="I19" s="2" t="n">
        <v>3382</v>
      </c>
      <c r="J19" s="2" t="n">
        <v>2015672</v>
      </c>
      <c r="K19" s="2" t="n">
        <v>2</v>
      </c>
      <c r="L19" s="2" t="inlineStr">
        <is>
          <t>Moderate</t>
        </is>
      </c>
      <c r="M19" s="2" t="inlineStr">
        <is>
          <t>Supplier attestation late</t>
        </is>
      </c>
      <c r="N19" s="2" t="inlineStr">
        <is>
          <t>Lena Ortiz</t>
        </is>
      </c>
      <c r="O19" s="2">
        <f>IF(L19="Critical",45,IF(L19="High",32,IF(L19="Moderate",18,8)))+IF(K19&lt;2,20,IF(K19&lt;5,10,0))+IF(M19="None",0,18)+IF(G19="Strategic",12,IF(G19="Premium",8,4))</f>
        <v/>
      </c>
      <c r="P19" s="2">
        <f>IF(O19&gt;=75,"Escalate today",IF(O19&gt;=55,"Intervene in 72 hours",IF(O19&gt;=35,"Monitor daily","On track")))</f>
        <v/>
      </c>
    </row>
    <row r="20">
      <c r="A20" s="2" t="inlineStr">
        <is>
          <t>NGX-2026-0019</t>
        </is>
      </c>
      <c r="B20" s="2" t="inlineStr">
        <is>
          <t>Raw Sugar</t>
        </is>
      </c>
      <c r="C20" s="2" t="inlineStr">
        <is>
          <t>Pacific Northwest Rail</t>
        </is>
      </c>
      <c r="D20" s="2" t="inlineStr">
        <is>
          <t>Fresno CA</t>
        </is>
      </c>
      <c r="E20" s="2" t="inlineStr">
        <is>
          <t>Crescent Bakery Group</t>
        </is>
      </c>
      <c r="F20" s="2" t="inlineStr">
        <is>
          <t>Southport Trading House</t>
        </is>
      </c>
      <c r="G20" s="2" t="inlineStr">
        <is>
          <t>Standard</t>
        </is>
      </c>
      <c r="H20" s="2" t="inlineStr">
        <is>
          <t>2026-09-14</t>
        </is>
      </c>
      <c r="I20" s="2" t="n">
        <v>2892</v>
      </c>
      <c r="J20" s="2" t="n">
        <v>708540</v>
      </c>
      <c r="K20" s="2" t="n">
        <v>8</v>
      </c>
      <c r="L20" s="2" t="inlineStr">
        <is>
          <t>Low</t>
        </is>
      </c>
      <c r="M20" s="2" t="inlineStr">
        <is>
          <t>Document review</t>
        </is>
      </c>
      <c r="N20" s="2" t="inlineStr">
        <is>
          <t>Noah Whitaker</t>
        </is>
      </c>
      <c r="O20" s="2">
        <f>IF(L20="Critical",45,IF(L20="High",32,IF(L20="Moderate",18,8)))+IF(K20&lt;2,20,IF(K20&lt;5,10,0))+IF(M20="None",0,18)+IF(G20="Strategic",12,IF(G20="Premium",8,4))</f>
        <v/>
      </c>
      <c r="P20" s="2">
        <f>IF(O20&gt;=75,"Escalate today",IF(O20&gt;=55,"Intervene in 72 hours",IF(O20&gt;=35,"Monitor daily","On track")))</f>
        <v/>
      </c>
    </row>
    <row r="21">
      <c r="A21" s="2" t="inlineStr">
        <is>
          <t>NGX-2026-0020</t>
        </is>
      </c>
      <c r="B21" s="2" t="inlineStr">
        <is>
          <t>Rice</t>
        </is>
      </c>
      <c r="C21" s="2" t="inlineStr">
        <is>
          <t>Upper Midwest Feed</t>
        </is>
      </c>
      <c r="D21" s="2" t="inlineStr">
        <is>
          <t>Savannah GA</t>
        </is>
      </c>
      <c r="E21" s="2" t="inlineStr">
        <is>
          <t>Tacoma Export Pier</t>
        </is>
      </c>
      <c r="F21" s="2" t="inlineStr">
        <is>
          <t>Southport Trading House</t>
        </is>
      </c>
      <c r="G21" s="2" t="inlineStr">
        <is>
          <t>Standard</t>
        </is>
      </c>
      <c r="H21" s="2" t="inlineStr">
        <is>
          <t>2026-09-19</t>
        </is>
      </c>
      <c r="I21" s="2" t="n">
        <v>3908</v>
      </c>
      <c r="J21" s="2" t="n">
        <v>2356524</v>
      </c>
      <c r="K21" s="2" t="n">
        <v>6</v>
      </c>
      <c r="L21" s="2" t="inlineStr">
        <is>
          <t>Low</t>
        </is>
      </c>
      <c r="M21" s="2" t="inlineStr">
        <is>
          <t>Document review</t>
        </is>
      </c>
      <c r="N21" s="2" t="inlineStr">
        <is>
          <t>Priya Raman</t>
        </is>
      </c>
      <c r="O21" s="2">
        <f>IF(L21="Critical",45,IF(L21="High",32,IF(L21="Moderate",18,8)))+IF(K21&lt;2,20,IF(K21&lt;5,10,0))+IF(M21="None",0,18)+IF(G21="Strategic",12,IF(G21="Premium",8,4))</f>
        <v/>
      </c>
      <c r="P21" s="2">
        <f>IF(O21&gt;=75,"Escalate today",IF(O21&gt;=55,"Intervene in 72 hours",IF(O21&gt;=35,"Monitor daily","On track")))</f>
        <v/>
      </c>
    </row>
    <row r="22">
      <c r="A22" s="2" t="inlineStr">
        <is>
          <t>NGX-2026-0021</t>
        </is>
      </c>
      <c r="B22" s="2" t="inlineStr">
        <is>
          <t>Soft Red Winter Wheat</t>
        </is>
      </c>
      <c r="C22" s="2" t="inlineStr">
        <is>
          <t>Interior Elevator Transfer</t>
        </is>
      </c>
      <c r="D22" s="2" t="inlineStr">
        <is>
          <t>Memphis TN</t>
        </is>
      </c>
      <c r="E22" s="2" t="inlineStr">
        <is>
          <t>Cedar Valley Feedworks</t>
        </is>
      </c>
      <c r="F22" s="2" t="inlineStr">
        <is>
          <t>Crescent Bakery Group</t>
        </is>
      </c>
      <c r="G22" s="2" t="inlineStr">
        <is>
          <t>Standard</t>
        </is>
      </c>
      <c r="H22" s="2" t="inlineStr">
        <is>
          <t>2026-09-13</t>
        </is>
      </c>
      <c r="I22" s="2" t="n">
        <v>1044</v>
      </c>
      <c r="J22" s="2" t="n">
        <v>434304</v>
      </c>
      <c r="K22" s="2" t="n">
        <v>9</v>
      </c>
      <c r="L22" s="2" t="inlineStr">
        <is>
          <t>Low</t>
        </is>
      </c>
      <c r="M22" s="2" t="inlineStr">
        <is>
          <t>Supplier attestation late</t>
        </is>
      </c>
      <c r="N22" s="2" t="inlineStr">
        <is>
          <t>Lena Ortiz</t>
        </is>
      </c>
      <c r="O22" s="2">
        <f>IF(L22="Critical",45,IF(L22="High",32,IF(L22="Moderate",18,8)))+IF(K22&lt;2,20,IF(K22&lt;5,10,0))+IF(M22="None",0,18)+IF(G22="Strategic",12,IF(G22="Premium",8,4))</f>
        <v/>
      </c>
      <c r="P22" s="2">
        <f>IF(O22&gt;=75,"Escalate today",IF(O22&gt;=55,"Intervene in 72 hours",IF(O22&gt;=35,"Monitor daily","On track")))</f>
        <v/>
      </c>
    </row>
    <row r="23">
      <c r="A23" s="2" t="inlineStr">
        <is>
          <t>NGX-2026-0022</t>
        </is>
      </c>
      <c r="B23" s="2" t="inlineStr">
        <is>
          <t>Coffee Beans</t>
        </is>
      </c>
      <c r="C23" s="2" t="inlineStr">
        <is>
          <t>Atlantic Container</t>
        </is>
      </c>
      <c r="D23" s="2" t="inlineStr">
        <is>
          <t>Omaha NE</t>
        </is>
      </c>
      <c r="E23" s="2" t="inlineStr">
        <is>
          <t>Crescent Bakery Group</t>
        </is>
      </c>
      <c r="F23" s="2" t="inlineStr">
        <is>
          <t>Pioneer Feed Cooperative</t>
        </is>
      </c>
      <c r="G23" s="2" t="inlineStr">
        <is>
          <t>Premium</t>
        </is>
      </c>
      <c r="H23" s="2" t="inlineStr">
        <is>
          <t>2026-09-21</t>
        </is>
      </c>
      <c r="I23" s="2" t="n">
        <v>2029</v>
      </c>
      <c r="J23" s="2" t="n">
        <v>1188994</v>
      </c>
      <c r="K23" s="2" t="n">
        <v>4</v>
      </c>
      <c r="L23" s="2" t="inlineStr">
        <is>
          <t>Low</t>
        </is>
      </c>
      <c r="M23" s="2" t="inlineStr">
        <is>
          <t>Chain-of-custody gap</t>
        </is>
      </c>
      <c r="N23" s="2" t="inlineStr">
        <is>
          <t>Lena Ortiz</t>
        </is>
      </c>
      <c r="O23" s="2">
        <f>IF(L23="Critical",45,IF(L23="High",32,IF(L23="Moderate",18,8)))+IF(K23&lt;2,20,IF(K23&lt;5,10,0))+IF(M23="None",0,18)+IF(G23="Strategic",12,IF(G23="Premium",8,4))</f>
        <v/>
      </c>
      <c r="P23" s="2">
        <f>IF(O23&gt;=75,"Escalate today",IF(O23&gt;=55,"Intervene in 72 hours",IF(O23&gt;=35,"Monitor daily","On track")))</f>
        <v/>
      </c>
    </row>
    <row r="24">
      <c r="A24" s="2" t="inlineStr">
        <is>
          <t>NGX-2026-0023</t>
        </is>
      </c>
      <c r="B24" s="2" t="inlineStr">
        <is>
          <t>Raw Sugar</t>
        </is>
      </c>
      <c r="C24" s="2" t="inlineStr">
        <is>
          <t>Lower Mississippi Barge</t>
        </is>
      </c>
      <c r="D24" s="2" t="inlineStr">
        <is>
          <t>Savannah GA</t>
        </is>
      </c>
      <c r="E24" s="2" t="inlineStr">
        <is>
          <t>New Orleans Terminal</t>
        </is>
      </c>
      <c r="F24" s="2" t="inlineStr">
        <is>
          <t>Lakeside Protein Co.</t>
        </is>
      </c>
      <c r="G24" s="2" t="inlineStr">
        <is>
          <t>Premium</t>
        </is>
      </c>
      <c r="H24" s="2" t="inlineStr">
        <is>
          <t>2026-09-07</t>
        </is>
      </c>
      <c r="I24" s="2" t="n">
        <v>4971</v>
      </c>
      <c r="J24" s="2" t="n">
        <v>1625517</v>
      </c>
      <c r="K24" s="2" t="n">
        <v>1</v>
      </c>
      <c r="L24" s="2" t="inlineStr">
        <is>
          <t>Critical</t>
        </is>
      </c>
      <c r="M24" s="2" t="inlineStr">
        <is>
          <t>None</t>
        </is>
      </c>
      <c r="N24" s="2" t="inlineStr">
        <is>
          <t>Noah Whitaker</t>
        </is>
      </c>
      <c r="O24" s="2">
        <f>IF(L24="Critical",45,IF(L24="High",32,IF(L24="Moderate",18,8)))+IF(K24&lt;2,20,IF(K24&lt;5,10,0))+IF(M24="None",0,18)+IF(G24="Strategic",12,IF(G24="Premium",8,4))</f>
        <v/>
      </c>
      <c r="P24" s="2">
        <f>IF(O24&gt;=75,"Escalate today",IF(O24&gt;=55,"Intervene in 72 hours",IF(O24&gt;=35,"Monitor daily","On track")))</f>
        <v/>
      </c>
    </row>
    <row r="25">
      <c r="A25" s="2" t="inlineStr">
        <is>
          <t>NGX-2026-0024</t>
        </is>
      </c>
      <c r="B25" s="2" t="inlineStr">
        <is>
          <t>Rice</t>
        </is>
      </c>
      <c r="C25" s="2" t="inlineStr">
        <is>
          <t>Pacific Northwest Rail</t>
        </is>
      </c>
      <c r="D25" s="2" t="inlineStr">
        <is>
          <t>Omaha NE</t>
        </is>
      </c>
      <c r="E25" s="2" t="inlineStr">
        <is>
          <t>Harborview Milling</t>
        </is>
      </c>
      <c r="F25" s="2" t="inlineStr">
        <is>
          <t>Beacon Ingredients</t>
        </is>
      </c>
      <c r="G25" s="2" t="inlineStr">
        <is>
          <t>Standard</t>
        </is>
      </c>
      <c r="H25" s="2" t="inlineStr">
        <is>
          <t>2026-09-08</t>
        </is>
      </c>
      <c r="I25" s="2" t="n">
        <v>2831</v>
      </c>
      <c r="J25" s="2" t="n">
        <v>1641980</v>
      </c>
      <c r="K25" s="2" t="n">
        <v>3</v>
      </c>
      <c r="L25" s="2" t="inlineStr">
        <is>
          <t>High</t>
        </is>
      </c>
      <c r="M25" s="2" t="inlineStr">
        <is>
          <t>Chain-of-custody gap</t>
        </is>
      </c>
      <c r="N25" s="2" t="inlineStr">
        <is>
          <t>Evan Brooks</t>
        </is>
      </c>
      <c r="O25" s="2">
        <f>IF(L25="Critical",45,IF(L25="High",32,IF(L25="Moderate",18,8)))+IF(K25&lt;2,20,IF(K25&lt;5,10,0))+IF(M25="None",0,18)+IF(G25="Strategic",12,IF(G25="Premium",8,4))</f>
        <v/>
      </c>
      <c r="P25" s="2">
        <f>IF(O25&gt;=75,"Escalate today",IF(O25&gt;=55,"Intervene in 72 hours",IF(O25&gt;=35,"Monitor daily","On track")))</f>
        <v/>
      </c>
    </row>
    <row r="26">
      <c r="A26" s="2" t="inlineStr">
        <is>
          <t>NGX-2026-0025</t>
        </is>
      </c>
      <c r="B26" s="2" t="inlineStr">
        <is>
          <t>Cottonseed Meal</t>
        </is>
      </c>
      <c r="C26" s="2" t="inlineStr">
        <is>
          <t>Lower Mississippi Barge</t>
        </is>
      </c>
      <c r="D26" s="2" t="inlineStr">
        <is>
          <t>St. Louis MO</t>
        </is>
      </c>
      <c r="E26" s="2" t="inlineStr">
        <is>
          <t>Bluewater Foods</t>
        </is>
      </c>
      <c r="F26" s="2" t="inlineStr">
        <is>
          <t>Harborview Milling</t>
        </is>
      </c>
      <c r="G26" s="2" t="inlineStr">
        <is>
          <t>Premium</t>
        </is>
      </c>
      <c r="H26" s="2" t="inlineStr">
        <is>
          <t>2026-09-09</t>
        </is>
      </c>
      <c r="I26" s="2" t="n">
        <v>1333</v>
      </c>
      <c r="J26" s="2" t="n">
        <v>286595</v>
      </c>
      <c r="K26" s="2" t="n">
        <v>1</v>
      </c>
      <c r="L26" s="2" t="inlineStr">
        <is>
          <t>Critical</t>
        </is>
      </c>
      <c r="M26" s="2" t="inlineStr">
        <is>
          <t>None</t>
        </is>
      </c>
      <c r="N26" s="2" t="inlineStr">
        <is>
          <t>Noah Whitaker</t>
        </is>
      </c>
      <c r="O26" s="2">
        <f>IF(L26="Critical",45,IF(L26="High",32,IF(L26="Moderate",18,8)))+IF(K26&lt;2,20,IF(K26&lt;5,10,0))+IF(M26="None",0,18)+IF(G26="Strategic",12,IF(G26="Premium",8,4))</f>
        <v/>
      </c>
      <c r="P26" s="2">
        <f>IF(O26&gt;=75,"Escalate today",IF(O26&gt;=55,"Intervene in 72 hours",IF(O26&gt;=35,"Monitor daily","On track")))</f>
        <v/>
      </c>
    </row>
    <row r="27">
      <c r="A27" s="2" t="inlineStr">
        <is>
          <t>NGX-2026-0026</t>
        </is>
      </c>
      <c r="B27" s="2" t="inlineStr">
        <is>
          <t>Raw Sugar</t>
        </is>
      </c>
      <c r="C27" s="2" t="inlineStr">
        <is>
          <t>Upper Midwest Feed</t>
        </is>
      </c>
      <c r="D27" s="2" t="inlineStr">
        <is>
          <t>St. Louis MO</t>
        </is>
      </c>
      <c r="E27" s="2" t="inlineStr">
        <is>
          <t>Beacon Ingredients</t>
        </is>
      </c>
      <c r="F27" s="2" t="inlineStr">
        <is>
          <t>Evergreen Nutrition</t>
        </is>
      </c>
      <c r="G27" s="2" t="inlineStr">
        <is>
          <t>Standard</t>
        </is>
      </c>
      <c r="H27" s="2" t="inlineStr">
        <is>
          <t>2026-09-18</t>
        </is>
      </c>
      <c r="I27" s="2" t="n">
        <v>5098</v>
      </c>
      <c r="J27" s="2" t="n">
        <v>2727430</v>
      </c>
      <c r="K27" s="2" t="n">
        <v>9</v>
      </c>
      <c r="L27" s="2" t="inlineStr">
        <is>
          <t>Moderate</t>
        </is>
      </c>
      <c r="M27" s="2" t="inlineStr">
        <is>
          <t>Mass balance variance</t>
        </is>
      </c>
      <c r="N27" s="2" t="inlineStr">
        <is>
          <t>Priya Raman</t>
        </is>
      </c>
      <c r="O27" s="2">
        <f>IF(L27="Critical",45,IF(L27="High",32,IF(L27="Moderate",18,8)))+IF(K27&lt;2,20,IF(K27&lt;5,10,0))+IF(M27="None",0,18)+IF(G27="Strategic",12,IF(G27="Premium",8,4))</f>
        <v/>
      </c>
      <c r="P27" s="2">
        <f>IF(O27&gt;=75,"Escalate today",IF(O27&gt;=55,"Intervene in 72 hours",IF(O27&gt;=35,"Monitor daily","On track")))</f>
        <v/>
      </c>
    </row>
    <row r="28">
      <c r="A28" s="2" t="inlineStr">
        <is>
          <t>NGX-2026-0027</t>
        </is>
      </c>
      <c r="B28" s="2" t="inlineStr">
        <is>
          <t>Raw Sugar</t>
        </is>
      </c>
      <c r="C28" s="2" t="inlineStr">
        <is>
          <t>Upper Midwest Feed</t>
        </is>
      </c>
      <c r="D28" s="2" t="inlineStr">
        <is>
          <t>Toledo OH</t>
        </is>
      </c>
      <c r="E28" s="2" t="inlineStr">
        <is>
          <t>Tacoma Export Pier</t>
        </is>
      </c>
      <c r="F28" s="2" t="inlineStr">
        <is>
          <t>Crescent Bakery Group</t>
        </is>
      </c>
      <c r="G28" s="2" t="inlineStr">
        <is>
          <t>Standard</t>
        </is>
      </c>
      <c r="H28" s="2" t="inlineStr">
        <is>
          <t>2026-09-13</t>
        </is>
      </c>
      <c r="I28" s="2" t="n">
        <v>1353</v>
      </c>
      <c r="J28" s="2" t="n">
        <v>526317</v>
      </c>
      <c r="K28" s="2" t="n">
        <v>8</v>
      </c>
      <c r="L28" s="2" t="inlineStr">
        <is>
          <t>Moderate</t>
        </is>
      </c>
      <c r="M28" s="2" t="inlineStr">
        <is>
          <t>Mass balance variance</t>
        </is>
      </c>
      <c r="N28" s="2" t="inlineStr">
        <is>
          <t>Priya Raman</t>
        </is>
      </c>
      <c r="O28" s="2">
        <f>IF(L28="Critical",45,IF(L28="High",32,IF(L28="Moderate",18,8)))+IF(K28&lt;2,20,IF(K28&lt;5,10,0))+IF(M28="None",0,18)+IF(G28="Strategic",12,IF(G28="Premium",8,4))</f>
        <v/>
      </c>
      <c r="P28" s="2">
        <f>IF(O28&gt;=75,"Escalate today",IF(O28&gt;=55,"Intervene in 72 hours",IF(O28&gt;=35,"Monitor daily","On track")))</f>
        <v/>
      </c>
    </row>
    <row r="29">
      <c r="A29" s="2" t="inlineStr">
        <is>
          <t>NGX-2026-0028</t>
        </is>
      </c>
      <c r="B29" s="2" t="inlineStr">
        <is>
          <t>Coffee Beans</t>
        </is>
      </c>
      <c r="C29" s="2" t="inlineStr">
        <is>
          <t>Gulf Export</t>
        </is>
      </c>
      <c r="D29" s="2" t="inlineStr">
        <is>
          <t>Davenport IA</t>
        </is>
      </c>
      <c r="E29" s="2" t="inlineStr">
        <is>
          <t>Tacoma Export Pier</t>
        </is>
      </c>
      <c r="F29" s="2" t="inlineStr">
        <is>
          <t>Bluewater Foods</t>
        </is>
      </c>
      <c r="G29" s="2" t="inlineStr">
        <is>
          <t>Strategic</t>
        </is>
      </c>
      <c r="H29" s="2" t="inlineStr">
        <is>
          <t>2026-09-19</t>
        </is>
      </c>
      <c r="I29" s="2" t="n">
        <v>4885</v>
      </c>
      <c r="J29" s="2" t="n">
        <v>1734175</v>
      </c>
      <c r="K29" s="2" t="n">
        <v>12</v>
      </c>
      <c r="L29" s="2" t="inlineStr">
        <is>
          <t>Low</t>
        </is>
      </c>
      <c r="M29" s="2" t="inlineStr">
        <is>
          <t>Supplier attestation late</t>
        </is>
      </c>
      <c r="N29" s="2" t="inlineStr">
        <is>
          <t>Evan Brooks</t>
        </is>
      </c>
      <c r="O29" s="2">
        <f>IF(L29="Critical",45,IF(L29="High",32,IF(L29="Moderate",18,8)))+IF(K29&lt;2,20,IF(K29&lt;5,10,0))+IF(M29="None",0,18)+IF(G29="Strategic",12,IF(G29="Premium",8,4))</f>
        <v/>
      </c>
      <c r="P29" s="2">
        <f>IF(O29&gt;=75,"Escalate today",IF(O29&gt;=55,"Intervene in 72 hours",IF(O29&gt;=35,"Monitor daily","On track")))</f>
        <v/>
      </c>
    </row>
    <row r="30">
      <c r="A30" s="2" t="inlineStr">
        <is>
          <t>NGX-2026-0029</t>
        </is>
      </c>
      <c r="B30" s="2" t="inlineStr">
        <is>
          <t>Soybean Meal</t>
        </is>
      </c>
      <c r="C30" s="2" t="inlineStr">
        <is>
          <t>Pacific Northwest Rail</t>
        </is>
      </c>
      <c r="D30" s="2" t="inlineStr">
        <is>
          <t>St. Louis MO</t>
        </is>
      </c>
      <c r="E30" s="2" t="inlineStr">
        <is>
          <t>Tacoma Export Pier</t>
        </is>
      </c>
      <c r="F30" s="2" t="inlineStr">
        <is>
          <t>Pioneer Feed Cooperative</t>
        </is>
      </c>
      <c r="G30" s="2" t="inlineStr">
        <is>
          <t>Standard</t>
        </is>
      </c>
      <c r="H30" s="2" t="inlineStr">
        <is>
          <t>2026-09-08</t>
        </is>
      </c>
      <c r="I30" s="2" t="n">
        <v>2344</v>
      </c>
      <c r="J30" s="2" t="n">
        <v>1136840</v>
      </c>
      <c r="K30" s="2" t="n">
        <v>2</v>
      </c>
      <c r="L30" s="2" t="inlineStr">
        <is>
          <t>Moderate</t>
        </is>
      </c>
      <c r="M30" s="2" t="inlineStr">
        <is>
          <t>Document review</t>
        </is>
      </c>
      <c r="N30" s="2" t="inlineStr">
        <is>
          <t>Maya Chen</t>
        </is>
      </c>
      <c r="O30" s="2">
        <f>IF(L30="Critical",45,IF(L30="High",32,IF(L30="Moderate",18,8)))+IF(K30&lt;2,20,IF(K30&lt;5,10,0))+IF(M30="None",0,18)+IF(G30="Strategic",12,IF(G30="Premium",8,4))</f>
        <v/>
      </c>
      <c r="P30" s="2">
        <f>IF(O30&gt;=75,"Escalate today",IF(O30&gt;=55,"Intervene in 72 hours",IF(O30&gt;=35,"Monitor daily","On track")))</f>
        <v/>
      </c>
    </row>
    <row r="31">
      <c r="A31" s="2" t="inlineStr">
        <is>
          <t>NGX-2026-0030</t>
        </is>
      </c>
      <c r="B31" s="2" t="inlineStr">
        <is>
          <t>Raw Sugar</t>
        </is>
      </c>
      <c r="C31" s="2" t="inlineStr">
        <is>
          <t>Pacific Northwest Rail</t>
        </is>
      </c>
      <c r="D31" s="2" t="inlineStr">
        <is>
          <t>Omaha NE</t>
        </is>
      </c>
      <c r="E31" s="2" t="inlineStr">
        <is>
          <t>New Orleans Terminal</t>
        </is>
      </c>
      <c r="F31" s="2" t="inlineStr">
        <is>
          <t>Crescent Bakery Group</t>
        </is>
      </c>
      <c r="G31" s="2" t="inlineStr">
        <is>
          <t>Premium</t>
        </is>
      </c>
      <c r="H31" s="2" t="inlineStr">
        <is>
          <t>2026-09-07</t>
        </is>
      </c>
      <c r="I31" s="2" t="n">
        <v>662</v>
      </c>
      <c r="J31" s="2" t="n">
        <v>313788</v>
      </c>
      <c r="K31" s="2" t="n">
        <v>8</v>
      </c>
      <c r="L31" s="2" t="inlineStr">
        <is>
          <t>Critical</t>
        </is>
      </c>
      <c r="M31" s="2" t="inlineStr">
        <is>
          <t>Document review</t>
        </is>
      </c>
      <c r="N31" s="2" t="inlineStr">
        <is>
          <t>Maya Chen</t>
        </is>
      </c>
      <c r="O31" s="2">
        <f>IF(L31="Critical",45,IF(L31="High",32,IF(L31="Moderate",18,8)))+IF(K31&lt;2,20,IF(K31&lt;5,10,0))+IF(M31="None",0,18)+IF(G31="Strategic",12,IF(G31="Premium",8,4))</f>
        <v/>
      </c>
      <c r="P31" s="2">
        <f>IF(O31&gt;=75,"Escalate today",IF(O31&gt;=55,"Intervene in 72 hours",IF(O31&gt;=35,"Monitor daily","On track")))</f>
        <v/>
      </c>
    </row>
    <row r="32">
      <c r="A32" s="2" t="inlineStr">
        <is>
          <t>NGX-2026-0031</t>
        </is>
      </c>
      <c r="B32" s="2" t="inlineStr">
        <is>
          <t>Soybean Meal</t>
        </is>
      </c>
      <c r="C32" s="2" t="inlineStr">
        <is>
          <t>Lower Mississippi Barge</t>
        </is>
      </c>
      <c r="D32" s="2" t="inlineStr">
        <is>
          <t>Davenport IA</t>
        </is>
      </c>
      <c r="E32" s="2" t="inlineStr">
        <is>
          <t>Lakeside Protein Co.</t>
        </is>
      </c>
      <c r="F32" s="2" t="inlineStr">
        <is>
          <t>Southport Trading House</t>
        </is>
      </c>
      <c r="G32" s="2" t="inlineStr">
        <is>
          <t>Premium</t>
        </is>
      </c>
      <c r="H32" s="2" t="inlineStr">
        <is>
          <t>2026-09-12</t>
        </is>
      </c>
      <c r="I32" s="2" t="n">
        <v>1658</v>
      </c>
      <c r="J32" s="2" t="n">
        <v>689728</v>
      </c>
      <c r="K32" s="2" t="n">
        <v>9</v>
      </c>
      <c r="L32" s="2" t="inlineStr">
        <is>
          <t>Critical</t>
        </is>
      </c>
      <c r="M32" s="2" t="inlineStr">
        <is>
          <t>Mass balance variance</t>
        </is>
      </c>
      <c r="N32" s="2" t="inlineStr">
        <is>
          <t>Maya Chen</t>
        </is>
      </c>
      <c r="O32" s="2">
        <f>IF(L32="Critical",45,IF(L32="High",32,IF(L32="Moderate",18,8)))+IF(K32&lt;2,20,IF(K32&lt;5,10,0))+IF(M32="None",0,18)+IF(G32="Strategic",12,IF(G32="Premium",8,4))</f>
        <v/>
      </c>
      <c r="P32" s="2">
        <f>IF(O32&gt;=75,"Escalate today",IF(O32&gt;=55,"Intervene in 72 hours",IF(O32&gt;=35,"Monitor daily","On track")))</f>
        <v/>
      </c>
    </row>
    <row r="33">
      <c r="A33" s="2" t="inlineStr">
        <is>
          <t>NGX-2026-0032</t>
        </is>
      </c>
      <c r="B33" s="2" t="inlineStr">
        <is>
          <t>Corn</t>
        </is>
      </c>
      <c r="C33" s="2" t="inlineStr">
        <is>
          <t>Atlantic Container</t>
        </is>
      </c>
      <c r="D33" s="2" t="inlineStr">
        <is>
          <t>Memphis TN</t>
        </is>
      </c>
      <c r="E33" s="2" t="inlineStr">
        <is>
          <t>Lakeside Protein Co.</t>
        </is>
      </c>
      <c r="F33" s="2" t="inlineStr">
        <is>
          <t>Pioneer Feed Cooperative</t>
        </is>
      </c>
      <c r="G33" s="2" t="inlineStr">
        <is>
          <t>Premium</t>
        </is>
      </c>
      <c r="H33" s="2" t="inlineStr">
        <is>
          <t>2026-09-10</t>
        </is>
      </c>
      <c r="I33" s="2" t="n">
        <v>4792</v>
      </c>
      <c r="J33" s="2" t="n">
        <v>2827280</v>
      </c>
      <c r="K33" s="2" t="n">
        <v>12</v>
      </c>
      <c r="L33" s="2" t="inlineStr">
        <is>
          <t>Moderate</t>
        </is>
      </c>
      <c r="M33" s="2" t="inlineStr">
        <is>
          <t>Chain-of-custody gap</t>
        </is>
      </c>
      <c r="N33" s="2" t="inlineStr">
        <is>
          <t>Evan Brooks</t>
        </is>
      </c>
      <c r="O33" s="2">
        <f>IF(L33="Critical",45,IF(L33="High",32,IF(L33="Moderate",18,8)))+IF(K33&lt;2,20,IF(K33&lt;5,10,0))+IF(M33="None",0,18)+IF(G33="Strategic",12,IF(G33="Premium",8,4))</f>
        <v/>
      </c>
      <c r="P33" s="2">
        <f>IF(O33&gt;=75,"Escalate today",IF(O33&gt;=55,"Intervene in 72 hours",IF(O33&gt;=35,"Monitor daily","On track")))</f>
        <v/>
      </c>
    </row>
    <row r="34">
      <c r="A34" s="2" t="inlineStr">
        <is>
          <t>NGX-2026-0033</t>
        </is>
      </c>
      <c r="B34" s="2" t="inlineStr">
        <is>
          <t>Soybean Meal</t>
        </is>
      </c>
      <c r="C34" s="2" t="inlineStr">
        <is>
          <t>Pacific Northwest Rail</t>
        </is>
      </c>
      <c r="D34" s="2" t="inlineStr">
        <is>
          <t>St. Louis MO</t>
        </is>
      </c>
      <c r="E34" s="2" t="inlineStr">
        <is>
          <t>Lakeside Protein Co.</t>
        </is>
      </c>
      <c r="F34" s="2" t="inlineStr">
        <is>
          <t>Crescent Bakery Group</t>
        </is>
      </c>
      <c r="G34" s="2" t="inlineStr">
        <is>
          <t>Standard</t>
        </is>
      </c>
      <c r="H34" s="2" t="inlineStr">
        <is>
          <t>2026-09-17</t>
        </is>
      </c>
      <c r="I34" s="2" t="n">
        <v>888</v>
      </c>
      <c r="J34" s="2" t="n">
        <v>592296</v>
      </c>
      <c r="K34" s="2" t="n">
        <v>7</v>
      </c>
      <c r="L34" s="2" t="inlineStr">
        <is>
          <t>Moderate</t>
        </is>
      </c>
      <c r="M34" s="2" t="inlineStr">
        <is>
          <t>Supplier attestation late</t>
        </is>
      </c>
      <c r="N34" s="2" t="inlineStr">
        <is>
          <t>Maya Chen</t>
        </is>
      </c>
      <c r="O34" s="2">
        <f>IF(L34="Critical",45,IF(L34="High",32,IF(L34="Moderate",18,8)))+IF(K34&lt;2,20,IF(K34&lt;5,10,0))+IF(M34="None",0,18)+IF(G34="Strategic",12,IF(G34="Premium",8,4))</f>
        <v/>
      </c>
      <c r="P34" s="2">
        <f>IF(O34&gt;=75,"Escalate today",IF(O34&gt;=55,"Intervene in 72 hours",IF(O34&gt;=35,"Monitor daily","On track")))</f>
        <v/>
      </c>
    </row>
    <row r="35">
      <c r="A35" s="2" t="inlineStr">
        <is>
          <t>NGX-2026-0034</t>
        </is>
      </c>
      <c r="B35" s="2" t="inlineStr">
        <is>
          <t>Soft Red Winter Wheat</t>
        </is>
      </c>
      <c r="C35" s="2" t="inlineStr">
        <is>
          <t>Lower Mississippi Barge</t>
        </is>
      </c>
      <c r="D35" s="2" t="inlineStr">
        <is>
          <t>Portland OR</t>
        </is>
      </c>
      <c r="E35" s="2" t="inlineStr">
        <is>
          <t>New Orleans Terminal</t>
        </is>
      </c>
      <c r="F35" s="2" t="inlineStr">
        <is>
          <t>Crescent Bakery Group</t>
        </is>
      </c>
      <c r="G35" s="2" t="inlineStr">
        <is>
          <t>Standard</t>
        </is>
      </c>
      <c r="H35" s="2" t="inlineStr">
        <is>
          <t>2026-09-17</t>
        </is>
      </c>
      <c r="I35" s="2" t="n">
        <v>4069</v>
      </c>
      <c r="J35" s="2" t="n">
        <v>1411943</v>
      </c>
      <c r="K35" s="2" t="n">
        <v>5</v>
      </c>
      <c r="L35" s="2" t="inlineStr">
        <is>
          <t>Critical</t>
        </is>
      </c>
      <c r="M35" s="2" t="inlineStr">
        <is>
          <t>Supplier attestation late</t>
        </is>
      </c>
      <c r="N35" s="2" t="inlineStr">
        <is>
          <t>Maya Chen</t>
        </is>
      </c>
      <c r="O35" s="2">
        <f>IF(L35="Critical",45,IF(L35="High",32,IF(L35="Moderate",18,8)))+IF(K35&lt;2,20,IF(K35&lt;5,10,0))+IF(M35="None",0,18)+IF(G35="Strategic",12,IF(G35="Premium",8,4))</f>
        <v/>
      </c>
      <c r="P35" s="2">
        <f>IF(O35&gt;=75,"Escalate today",IF(O35&gt;=55,"Intervene in 72 hours",IF(O35&gt;=35,"Monitor daily","On track")))</f>
        <v/>
      </c>
    </row>
    <row r="36">
      <c r="A36" s="2" t="inlineStr">
        <is>
          <t>NGX-2026-0035</t>
        </is>
      </c>
      <c r="B36" s="2" t="inlineStr">
        <is>
          <t>Canola</t>
        </is>
      </c>
      <c r="C36" s="2" t="inlineStr">
        <is>
          <t>Lower Mississippi Barge</t>
        </is>
      </c>
      <c r="D36" s="2" t="inlineStr">
        <is>
          <t>Savannah GA</t>
        </is>
      </c>
      <c r="E36" s="2" t="inlineStr">
        <is>
          <t>Tacoma Export Pier</t>
        </is>
      </c>
      <c r="F36" s="2" t="inlineStr">
        <is>
          <t>Southport Trading House</t>
        </is>
      </c>
      <c r="G36" s="2" t="inlineStr">
        <is>
          <t>Standard</t>
        </is>
      </c>
      <c r="H36" s="2" t="inlineStr">
        <is>
          <t>2026-09-18</t>
        </is>
      </c>
      <c r="I36" s="2" t="n">
        <v>2202</v>
      </c>
      <c r="J36" s="2" t="n">
        <v>847770</v>
      </c>
      <c r="K36" s="2" t="n">
        <v>2</v>
      </c>
      <c r="L36" s="2" t="inlineStr">
        <is>
          <t>Low</t>
        </is>
      </c>
      <c r="M36" s="2" t="inlineStr">
        <is>
          <t>Chain-of-custody gap</t>
        </is>
      </c>
      <c r="N36" s="2" t="inlineStr">
        <is>
          <t>Evan Brooks</t>
        </is>
      </c>
      <c r="O36" s="2">
        <f>IF(L36="Critical",45,IF(L36="High",32,IF(L36="Moderate",18,8)))+IF(K36&lt;2,20,IF(K36&lt;5,10,0))+IF(M36="None",0,18)+IF(G36="Strategic",12,IF(G36="Premium",8,4))</f>
        <v/>
      </c>
      <c r="P36" s="2">
        <f>IF(O36&gt;=75,"Escalate today",IF(O36&gt;=55,"Intervene in 72 hours",IF(O36&gt;=35,"Monitor daily","On track")))</f>
        <v/>
      </c>
    </row>
    <row r="37">
      <c r="A37" s="2" t="inlineStr">
        <is>
          <t>NGX-2026-0036</t>
        </is>
      </c>
      <c r="B37" s="2" t="inlineStr">
        <is>
          <t>Soybean Meal</t>
        </is>
      </c>
      <c r="C37" s="2" t="inlineStr">
        <is>
          <t>Interior Elevator Transfer</t>
        </is>
      </c>
      <c r="D37" s="2" t="inlineStr">
        <is>
          <t>Toledo OH</t>
        </is>
      </c>
      <c r="E37" s="2" t="inlineStr">
        <is>
          <t>Beacon Ingredients</t>
        </is>
      </c>
      <c r="F37" s="2" t="inlineStr">
        <is>
          <t>Beacon Ingredients</t>
        </is>
      </c>
      <c r="G37" s="2" t="inlineStr">
        <is>
          <t>Premium</t>
        </is>
      </c>
      <c r="H37" s="2" t="inlineStr">
        <is>
          <t>2026-09-09</t>
        </is>
      </c>
      <c r="I37" s="2" t="n">
        <v>3916</v>
      </c>
      <c r="J37" s="2" t="n">
        <v>1327524</v>
      </c>
      <c r="K37" s="2" t="n">
        <v>4</v>
      </c>
      <c r="L37" s="2" t="inlineStr">
        <is>
          <t>Critical</t>
        </is>
      </c>
      <c r="M37" s="2" t="inlineStr">
        <is>
          <t>Chain-of-custody gap</t>
        </is>
      </c>
      <c r="N37" s="2" t="inlineStr">
        <is>
          <t>Lena Ortiz</t>
        </is>
      </c>
      <c r="O37" s="2">
        <f>IF(L37="Critical",45,IF(L37="High",32,IF(L37="Moderate",18,8)))+IF(K37&lt;2,20,IF(K37&lt;5,10,0))+IF(M37="None",0,18)+IF(G37="Strategic",12,IF(G37="Premium",8,4))</f>
        <v/>
      </c>
      <c r="P37" s="2">
        <f>IF(O37&gt;=75,"Escalate today",IF(O37&gt;=55,"Intervene in 72 hours",IF(O37&gt;=35,"Monitor daily","On track")))</f>
        <v/>
      </c>
    </row>
    <row r="38">
      <c r="A38" s="2" t="inlineStr">
        <is>
          <t>NGX-2026-0037</t>
        </is>
      </c>
      <c r="B38" s="2" t="inlineStr">
        <is>
          <t>Raw Sugar</t>
        </is>
      </c>
      <c r="C38" s="2" t="inlineStr">
        <is>
          <t>Lower Mississippi Barge</t>
        </is>
      </c>
      <c r="D38" s="2" t="inlineStr">
        <is>
          <t>St. Louis MO</t>
        </is>
      </c>
      <c r="E38" s="2" t="inlineStr">
        <is>
          <t>Bluewater Foods</t>
        </is>
      </c>
      <c r="F38" s="2" t="inlineStr">
        <is>
          <t>Lakeside Protein Co.</t>
        </is>
      </c>
      <c r="G38" s="2" t="inlineStr">
        <is>
          <t>Strategic</t>
        </is>
      </c>
      <c r="H38" s="2" t="inlineStr">
        <is>
          <t>2026-09-15</t>
        </is>
      </c>
      <c r="I38" s="2" t="n">
        <v>1349</v>
      </c>
      <c r="J38" s="2" t="n">
        <v>789165</v>
      </c>
      <c r="K38" s="2" t="n">
        <v>3</v>
      </c>
      <c r="L38" s="2" t="inlineStr">
        <is>
          <t>High</t>
        </is>
      </c>
      <c r="M38" s="2" t="inlineStr">
        <is>
          <t>Mass balance variance</t>
        </is>
      </c>
      <c r="N38" s="2" t="inlineStr">
        <is>
          <t>Priya Raman</t>
        </is>
      </c>
      <c r="O38" s="2">
        <f>IF(L38="Critical",45,IF(L38="High",32,IF(L38="Moderate",18,8)))+IF(K38&lt;2,20,IF(K38&lt;5,10,0))+IF(M38="None",0,18)+IF(G38="Strategic",12,IF(G38="Premium",8,4))</f>
        <v/>
      </c>
      <c r="P38" s="2">
        <f>IF(O38&gt;=75,"Escalate today",IF(O38&gt;=55,"Intervene in 72 hours",IF(O38&gt;=35,"Monitor daily","On track")))</f>
        <v/>
      </c>
    </row>
    <row r="39">
      <c r="A39" s="2" t="inlineStr">
        <is>
          <t>NGX-2026-0038</t>
        </is>
      </c>
      <c r="B39" s="2" t="inlineStr">
        <is>
          <t>Raw Sugar</t>
        </is>
      </c>
      <c r="C39" s="2" t="inlineStr">
        <is>
          <t>Upper Midwest Feed</t>
        </is>
      </c>
      <c r="D39" s="2" t="inlineStr">
        <is>
          <t>Toledo OH</t>
        </is>
      </c>
      <c r="E39" s="2" t="inlineStr">
        <is>
          <t>Beacon Ingredients</t>
        </is>
      </c>
      <c r="F39" s="2" t="inlineStr">
        <is>
          <t>Lakeside Protein Co.</t>
        </is>
      </c>
      <c r="G39" s="2" t="inlineStr">
        <is>
          <t>Standard</t>
        </is>
      </c>
      <c r="H39" s="2" t="inlineStr">
        <is>
          <t>2026-09-09</t>
        </is>
      </c>
      <c r="I39" s="2" t="n">
        <v>2437</v>
      </c>
      <c r="J39" s="2" t="n">
        <v>1627916</v>
      </c>
      <c r="K39" s="2" t="n">
        <v>2</v>
      </c>
      <c r="L39" s="2" t="inlineStr">
        <is>
          <t>Critical</t>
        </is>
      </c>
      <c r="M39" s="2" t="inlineStr">
        <is>
          <t>None</t>
        </is>
      </c>
      <c r="N39" s="2" t="inlineStr">
        <is>
          <t>Maya Chen</t>
        </is>
      </c>
      <c r="O39" s="2">
        <f>IF(L39="Critical",45,IF(L39="High",32,IF(L39="Moderate",18,8)))+IF(K39&lt;2,20,IF(K39&lt;5,10,0))+IF(M39="None",0,18)+IF(G39="Strategic",12,IF(G39="Premium",8,4))</f>
        <v/>
      </c>
      <c r="P39" s="2">
        <f>IF(O39&gt;=75,"Escalate today",IF(O39&gt;=55,"Intervene in 72 hours",IF(O39&gt;=35,"Monitor daily","On track")))</f>
        <v/>
      </c>
    </row>
    <row r="40">
      <c r="A40" s="2" t="inlineStr">
        <is>
          <t>NGX-2026-0039</t>
        </is>
      </c>
      <c r="B40" s="2" t="inlineStr">
        <is>
          <t>Soft Red Winter Wheat</t>
        </is>
      </c>
      <c r="C40" s="2" t="inlineStr">
        <is>
          <t>Atlantic Container</t>
        </is>
      </c>
      <c r="D40" s="2" t="inlineStr">
        <is>
          <t>Omaha NE</t>
        </is>
      </c>
      <c r="E40" s="2" t="inlineStr">
        <is>
          <t>Cedar Valley Feedworks</t>
        </is>
      </c>
      <c r="F40" s="2" t="inlineStr">
        <is>
          <t>Pioneer Feed Cooperative</t>
        </is>
      </c>
      <c r="G40" s="2" t="inlineStr">
        <is>
          <t>Premium</t>
        </is>
      </c>
      <c r="H40" s="2" t="inlineStr">
        <is>
          <t>2026-09-09</t>
        </is>
      </c>
      <c r="I40" s="2" t="n">
        <v>3567</v>
      </c>
      <c r="J40" s="2" t="n">
        <v>2332818</v>
      </c>
      <c r="K40" s="2" t="n">
        <v>12</v>
      </c>
      <c r="L40" s="2" t="inlineStr">
        <is>
          <t>Critical</t>
        </is>
      </c>
      <c r="M40" s="2" t="inlineStr">
        <is>
          <t>Chain-of-custody gap</t>
        </is>
      </c>
      <c r="N40" s="2" t="inlineStr">
        <is>
          <t>Lena Ortiz</t>
        </is>
      </c>
      <c r="O40" s="2">
        <f>IF(L40="Critical",45,IF(L40="High",32,IF(L40="Moderate",18,8)))+IF(K40&lt;2,20,IF(K40&lt;5,10,0))+IF(M40="None",0,18)+IF(G40="Strategic",12,IF(G40="Premium",8,4))</f>
        <v/>
      </c>
      <c r="P40" s="2">
        <f>IF(O40&gt;=75,"Escalate today",IF(O40&gt;=55,"Intervene in 72 hours",IF(O40&gt;=35,"Monitor daily","On track")))</f>
        <v/>
      </c>
    </row>
    <row r="41">
      <c r="A41" s="2" t="inlineStr">
        <is>
          <t>NGX-2026-0040</t>
        </is>
      </c>
      <c r="B41" s="2" t="inlineStr">
        <is>
          <t>Soft Red Winter Wheat</t>
        </is>
      </c>
      <c r="C41" s="2" t="inlineStr">
        <is>
          <t>Atlantic Container</t>
        </is>
      </c>
      <c r="D41" s="2" t="inlineStr">
        <is>
          <t>Toledo OH</t>
        </is>
      </c>
      <c r="E41" s="2" t="inlineStr">
        <is>
          <t>Bluewater Foods</t>
        </is>
      </c>
      <c r="F41" s="2" t="inlineStr">
        <is>
          <t>Bluewater Foods</t>
        </is>
      </c>
      <c r="G41" s="2" t="inlineStr">
        <is>
          <t>Strategic</t>
        </is>
      </c>
      <c r="H41" s="2" t="inlineStr">
        <is>
          <t>2026-09-14</t>
        </is>
      </c>
      <c r="I41" s="2" t="n">
        <v>2370</v>
      </c>
      <c r="J41" s="2" t="n">
        <v>1211070</v>
      </c>
      <c r="K41" s="2" t="n">
        <v>7</v>
      </c>
      <c r="L41" s="2" t="inlineStr">
        <is>
          <t>High</t>
        </is>
      </c>
      <c r="M41" s="2" t="inlineStr">
        <is>
          <t>Mass balance variance</t>
        </is>
      </c>
      <c r="N41" s="2" t="inlineStr">
        <is>
          <t>Noah Whitaker</t>
        </is>
      </c>
      <c r="O41" s="2">
        <f>IF(L41="Critical",45,IF(L41="High",32,IF(L41="Moderate",18,8)))+IF(K41&lt;2,20,IF(K41&lt;5,10,0))+IF(M41="None",0,18)+IF(G41="Strategic",12,IF(G41="Premium",8,4))</f>
        <v/>
      </c>
      <c r="P41" s="2">
        <f>IF(O41&gt;=75,"Escalate today",IF(O41&gt;=55,"Intervene in 72 hours",IF(O41&gt;=35,"Monitor daily","On track")))</f>
        <v/>
      </c>
    </row>
    <row r="42">
      <c r="A42" s="2" t="inlineStr">
        <is>
          <t>NGX-2026-0041</t>
        </is>
      </c>
      <c r="B42" s="2" t="inlineStr">
        <is>
          <t>Corn</t>
        </is>
      </c>
      <c r="C42" s="2" t="inlineStr">
        <is>
          <t>Gulf Export</t>
        </is>
      </c>
      <c r="D42" s="2" t="inlineStr">
        <is>
          <t>Davenport IA</t>
        </is>
      </c>
      <c r="E42" s="2" t="inlineStr">
        <is>
          <t>Bluewater Foods</t>
        </is>
      </c>
      <c r="F42" s="2" t="inlineStr">
        <is>
          <t>Evergreen Nutrition</t>
        </is>
      </c>
      <c r="G42" s="2" t="inlineStr">
        <is>
          <t>Strategic</t>
        </is>
      </c>
      <c r="H42" s="2" t="inlineStr">
        <is>
          <t>2026-09-14</t>
        </is>
      </c>
      <c r="I42" s="2" t="n">
        <v>3919</v>
      </c>
      <c r="J42" s="2" t="n">
        <v>2363157</v>
      </c>
      <c r="K42" s="2" t="n">
        <v>10</v>
      </c>
      <c r="L42" s="2" t="inlineStr">
        <is>
          <t>Critical</t>
        </is>
      </c>
      <c r="M42" s="2" t="inlineStr">
        <is>
          <t>Mass balance variance</t>
        </is>
      </c>
      <c r="N42" s="2" t="inlineStr">
        <is>
          <t>Noah Whitaker</t>
        </is>
      </c>
      <c r="O42" s="2">
        <f>IF(L42="Critical",45,IF(L42="High",32,IF(L42="Moderate",18,8)))+IF(K42&lt;2,20,IF(K42&lt;5,10,0))+IF(M42="None",0,18)+IF(G42="Strategic",12,IF(G42="Premium",8,4))</f>
        <v/>
      </c>
      <c r="P42" s="2">
        <f>IF(O42&gt;=75,"Escalate today",IF(O42&gt;=55,"Intervene in 72 hours",IF(O42&gt;=35,"Monitor daily","On track")))</f>
        <v/>
      </c>
    </row>
    <row r="43">
      <c r="A43" s="2" t="inlineStr">
        <is>
          <t>NGX-2026-0042</t>
        </is>
      </c>
      <c r="B43" s="2" t="inlineStr">
        <is>
          <t>Soft Red Winter Wheat</t>
        </is>
      </c>
      <c r="C43" s="2" t="inlineStr">
        <is>
          <t>Gulf Export</t>
        </is>
      </c>
      <c r="D43" s="2" t="inlineStr">
        <is>
          <t>Portland OR</t>
        </is>
      </c>
      <c r="E43" s="2" t="inlineStr">
        <is>
          <t>New Orleans Terminal</t>
        </is>
      </c>
      <c r="F43" s="2" t="inlineStr">
        <is>
          <t>Crescent Bakery Group</t>
        </is>
      </c>
      <c r="G43" s="2" t="inlineStr">
        <is>
          <t>Premium</t>
        </is>
      </c>
      <c r="H43" s="2" t="inlineStr">
        <is>
          <t>2026-09-08</t>
        </is>
      </c>
      <c r="I43" s="2" t="n">
        <v>3423</v>
      </c>
      <c r="J43" s="2" t="n">
        <v>2029839</v>
      </c>
      <c r="K43" s="2" t="n">
        <v>11</v>
      </c>
      <c r="L43" s="2" t="inlineStr">
        <is>
          <t>High</t>
        </is>
      </c>
      <c r="M43" s="2" t="inlineStr">
        <is>
          <t>Supplier attestation late</t>
        </is>
      </c>
      <c r="N43" s="2" t="inlineStr">
        <is>
          <t>Noah Whitaker</t>
        </is>
      </c>
      <c r="O43" s="2">
        <f>IF(L43="Critical",45,IF(L43="High",32,IF(L43="Moderate",18,8)))+IF(K43&lt;2,20,IF(K43&lt;5,10,0))+IF(M43="None",0,18)+IF(G43="Strategic",12,IF(G43="Premium",8,4))</f>
        <v/>
      </c>
      <c r="P43" s="2">
        <f>IF(O43&gt;=75,"Escalate today",IF(O43&gt;=55,"Intervene in 72 hours",IF(O43&gt;=35,"Monitor daily","On track")))</f>
        <v/>
      </c>
    </row>
    <row r="44">
      <c r="A44" s="2" t="inlineStr">
        <is>
          <t>NGX-2026-0043</t>
        </is>
      </c>
      <c r="B44" s="2" t="inlineStr">
        <is>
          <t>Soybean Meal</t>
        </is>
      </c>
      <c r="C44" s="2" t="inlineStr">
        <is>
          <t>Gulf Export</t>
        </is>
      </c>
      <c r="D44" s="2" t="inlineStr">
        <is>
          <t>Fresno CA</t>
        </is>
      </c>
      <c r="E44" s="2" t="inlineStr">
        <is>
          <t>Beacon Ingredients</t>
        </is>
      </c>
      <c r="F44" s="2" t="inlineStr">
        <is>
          <t>Crescent Bakery Group</t>
        </is>
      </c>
      <c r="G44" s="2" t="inlineStr">
        <is>
          <t>Strategic</t>
        </is>
      </c>
      <c r="H44" s="2" t="inlineStr">
        <is>
          <t>2026-09-12</t>
        </is>
      </c>
      <c r="I44" s="2" t="n">
        <v>2944</v>
      </c>
      <c r="J44" s="2" t="n">
        <v>841984</v>
      </c>
      <c r="K44" s="2" t="n">
        <v>2</v>
      </c>
      <c r="L44" s="2" t="inlineStr">
        <is>
          <t>Moderate</t>
        </is>
      </c>
      <c r="M44" s="2" t="inlineStr">
        <is>
          <t>Document review</t>
        </is>
      </c>
      <c r="N44" s="2" t="inlineStr">
        <is>
          <t>Maya Chen</t>
        </is>
      </c>
      <c r="O44" s="2">
        <f>IF(L44="Critical",45,IF(L44="High",32,IF(L44="Moderate",18,8)))+IF(K44&lt;2,20,IF(K44&lt;5,10,0))+IF(M44="None",0,18)+IF(G44="Strategic",12,IF(G44="Premium",8,4))</f>
        <v/>
      </c>
      <c r="P44" s="2">
        <f>IF(O44&gt;=75,"Escalate today",IF(O44&gt;=55,"Intervene in 72 hours",IF(O44&gt;=35,"Monitor daily","On track")))</f>
        <v/>
      </c>
    </row>
    <row r="45">
      <c r="A45" s="2" t="inlineStr">
        <is>
          <t>NGX-2026-0044</t>
        </is>
      </c>
      <c r="B45" s="2" t="inlineStr">
        <is>
          <t>Cottonseed Meal</t>
        </is>
      </c>
      <c r="C45" s="2" t="inlineStr">
        <is>
          <t>Pacific Northwest Rail</t>
        </is>
      </c>
      <c r="D45" s="2" t="inlineStr">
        <is>
          <t>Savannah GA</t>
        </is>
      </c>
      <c r="E45" s="2" t="inlineStr">
        <is>
          <t>Cedar Valley Feedworks</t>
        </is>
      </c>
      <c r="F45" s="2" t="inlineStr">
        <is>
          <t>Beacon Ingredients</t>
        </is>
      </c>
      <c r="G45" s="2" t="inlineStr">
        <is>
          <t>Strategic</t>
        </is>
      </c>
      <c r="H45" s="2" t="inlineStr">
        <is>
          <t>2026-09-07</t>
        </is>
      </c>
      <c r="I45" s="2" t="n">
        <v>1612</v>
      </c>
      <c r="J45" s="2" t="n">
        <v>472316</v>
      </c>
      <c r="K45" s="2" t="n">
        <v>1</v>
      </c>
      <c r="L45" s="2" t="inlineStr">
        <is>
          <t>Critical</t>
        </is>
      </c>
      <c r="M45" s="2" t="inlineStr">
        <is>
          <t>Chain-of-custody gap</t>
        </is>
      </c>
      <c r="N45" s="2" t="inlineStr">
        <is>
          <t>Evan Brooks</t>
        </is>
      </c>
      <c r="O45" s="2">
        <f>IF(L45="Critical",45,IF(L45="High",32,IF(L45="Moderate",18,8)))+IF(K45&lt;2,20,IF(K45&lt;5,10,0))+IF(M45="None",0,18)+IF(G45="Strategic",12,IF(G45="Premium",8,4))</f>
        <v/>
      </c>
      <c r="P45" s="2">
        <f>IF(O45&gt;=75,"Escalate today",IF(O45&gt;=55,"Intervene in 72 hours",IF(O45&gt;=35,"Monitor daily","On track")))</f>
        <v/>
      </c>
    </row>
    <row r="46">
      <c r="A46" s="2" t="inlineStr">
        <is>
          <t>NGX-2026-0045</t>
        </is>
      </c>
      <c r="B46" s="2" t="inlineStr">
        <is>
          <t>Soybean Meal</t>
        </is>
      </c>
      <c r="C46" s="2" t="inlineStr">
        <is>
          <t>Upper Midwest Feed</t>
        </is>
      </c>
      <c r="D46" s="2" t="inlineStr">
        <is>
          <t>Toledo OH</t>
        </is>
      </c>
      <c r="E46" s="2" t="inlineStr">
        <is>
          <t>Tacoma Export Pier</t>
        </is>
      </c>
      <c r="F46" s="2" t="inlineStr">
        <is>
          <t>Lakeside Protein Co.</t>
        </is>
      </c>
      <c r="G46" s="2" t="inlineStr">
        <is>
          <t>Standard</t>
        </is>
      </c>
      <c r="H46" s="2" t="inlineStr">
        <is>
          <t>2026-09-08</t>
        </is>
      </c>
      <c r="I46" s="2" t="n">
        <v>3853</v>
      </c>
      <c r="J46" s="2" t="n">
        <v>1387080</v>
      </c>
      <c r="K46" s="2" t="n">
        <v>7</v>
      </c>
      <c r="L46" s="2" t="inlineStr">
        <is>
          <t>Low</t>
        </is>
      </c>
      <c r="M46" s="2" t="inlineStr">
        <is>
          <t>Chain-of-custody gap</t>
        </is>
      </c>
      <c r="N46" s="2" t="inlineStr">
        <is>
          <t>Evan Brooks</t>
        </is>
      </c>
      <c r="O46" s="2">
        <f>IF(L46="Critical",45,IF(L46="High",32,IF(L46="Moderate",18,8)))+IF(K46&lt;2,20,IF(K46&lt;5,10,0))+IF(M46="None",0,18)+IF(G46="Strategic",12,IF(G46="Premium",8,4))</f>
        <v/>
      </c>
      <c r="P46" s="2">
        <f>IF(O46&gt;=75,"Escalate today",IF(O46&gt;=55,"Intervene in 72 hours",IF(O46&gt;=35,"Monitor daily","On track")))</f>
        <v/>
      </c>
    </row>
    <row r="47">
      <c r="A47" s="2" t="inlineStr">
        <is>
          <t>NGX-2026-0046</t>
        </is>
      </c>
      <c r="B47" s="2" t="inlineStr">
        <is>
          <t>Coffee Beans</t>
        </is>
      </c>
      <c r="C47" s="2" t="inlineStr">
        <is>
          <t>Interior Elevator Transfer</t>
        </is>
      </c>
      <c r="D47" s="2" t="inlineStr">
        <is>
          <t>Memphis TN</t>
        </is>
      </c>
      <c r="E47" s="2" t="inlineStr">
        <is>
          <t>Tacoma Export Pier</t>
        </is>
      </c>
      <c r="F47" s="2" t="inlineStr">
        <is>
          <t>Beacon Ingredients</t>
        </is>
      </c>
      <c r="G47" s="2" t="inlineStr">
        <is>
          <t>Premium</t>
        </is>
      </c>
      <c r="H47" s="2" t="inlineStr">
        <is>
          <t>2026-09-13</t>
        </is>
      </c>
      <c r="I47" s="2" t="n">
        <v>968</v>
      </c>
      <c r="J47" s="2" t="n">
        <v>513040</v>
      </c>
      <c r="K47" s="2" t="n">
        <v>12</v>
      </c>
      <c r="L47" s="2" t="inlineStr">
        <is>
          <t>Critical</t>
        </is>
      </c>
      <c r="M47" s="2" t="inlineStr">
        <is>
          <t>None</t>
        </is>
      </c>
      <c r="N47" s="2" t="inlineStr">
        <is>
          <t>Maya Chen</t>
        </is>
      </c>
      <c r="O47" s="2">
        <f>IF(L47="Critical",45,IF(L47="High",32,IF(L47="Moderate",18,8)))+IF(K47&lt;2,20,IF(K47&lt;5,10,0))+IF(M47="None",0,18)+IF(G47="Strategic",12,IF(G47="Premium",8,4))</f>
        <v/>
      </c>
      <c r="P47" s="2">
        <f>IF(O47&gt;=75,"Escalate today",IF(O47&gt;=55,"Intervene in 72 hours",IF(O47&gt;=35,"Monitor daily","On track")))</f>
        <v/>
      </c>
    </row>
    <row r="48">
      <c r="A48" s="2" t="inlineStr">
        <is>
          <t>NGX-2026-0047</t>
        </is>
      </c>
      <c r="B48" s="2" t="inlineStr">
        <is>
          <t>Soybean Meal</t>
        </is>
      </c>
      <c r="C48" s="2" t="inlineStr">
        <is>
          <t>Interior Elevator Transfer</t>
        </is>
      </c>
      <c r="D48" s="2" t="inlineStr">
        <is>
          <t>Omaha NE</t>
        </is>
      </c>
      <c r="E48" s="2" t="inlineStr">
        <is>
          <t>Cedar Valley Feedworks</t>
        </is>
      </c>
      <c r="F48" s="2" t="inlineStr">
        <is>
          <t>Beacon Ingredients</t>
        </is>
      </c>
      <c r="G48" s="2" t="inlineStr">
        <is>
          <t>Premium</t>
        </is>
      </c>
      <c r="H48" s="2" t="inlineStr">
        <is>
          <t>2026-09-08</t>
        </is>
      </c>
      <c r="I48" s="2" t="n">
        <v>4321</v>
      </c>
      <c r="J48" s="2" t="n">
        <v>1266053</v>
      </c>
      <c r="K48" s="2" t="n">
        <v>8</v>
      </c>
      <c r="L48" s="2" t="inlineStr">
        <is>
          <t>Moderate</t>
        </is>
      </c>
      <c r="M48" s="2" t="inlineStr">
        <is>
          <t>Chain-of-custody gap</t>
        </is>
      </c>
      <c r="N48" s="2" t="inlineStr">
        <is>
          <t>Priya Raman</t>
        </is>
      </c>
      <c r="O48" s="2">
        <f>IF(L48="Critical",45,IF(L48="High",32,IF(L48="Moderate",18,8)))+IF(K48&lt;2,20,IF(K48&lt;5,10,0))+IF(M48="None",0,18)+IF(G48="Strategic",12,IF(G48="Premium",8,4))</f>
        <v/>
      </c>
      <c r="P48" s="2">
        <f>IF(O48&gt;=75,"Escalate today",IF(O48&gt;=55,"Intervene in 72 hours",IF(O48&gt;=35,"Monitor daily","On track")))</f>
        <v/>
      </c>
    </row>
    <row r="49">
      <c r="A49" s="2" t="inlineStr">
        <is>
          <t>NGX-2026-0048</t>
        </is>
      </c>
      <c r="B49" s="2" t="inlineStr">
        <is>
          <t>Cottonseed Meal</t>
        </is>
      </c>
      <c r="C49" s="2" t="inlineStr">
        <is>
          <t>Atlantic Container</t>
        </is>
      </c>
      <c r="D49" s="2" t="inlineStr">
        <is>
          <t>Portland OR</t>
        </is>
      </c>
      <c r="E49" s="2" t="inlineStr">
        <is>
          <t>Beacon Ingredients</t>
        </is>
      </c>
      <c r="F49" s="2" t="inlineStr">
        <is>
          <t>Southport Trading House</t>
        </is>
      </c>
      <c r="G49" s="2" t="inlineStr">
        <is>
          <t>Standard</t>
        </is>
      </c>
      <c r="H49" s="2" t="inlineStr">
        <is>
          <t>2026-09-18</t>
        </is>
      </c>
      <c r="I49" s="2" t="n">
        <v>2785</v>
      </c>
      <c r="J49" s="2" t="n">
        <v>598775</v>
      </c>
      <c r="K49" s="2" t="n">
        <v>6</v>
      </c>
      <c r="L49" s="2" t="inlineStr">
        <is>
          <t>Low</t>
        </is>
      </c>
      <c r="M49" s="2" t="inlineStr">
        <is>
          <t>Document review</t>
        </is>
      </c>
      <c r="N49" s="2" t="inlineStr">
        <is>
          <t>Priya Raman</t>
        </is>
      </c>
      <c r="O49" s="2">
        <f>IF(L49="Critical",45,IF(L49="High",32,IF(L49="Moderate",18,8)))+IF(K49&lt;2,20,IF(K49&lt;5,10,0))+IF(M49="None",0,18)+IF(G49="Strategic",12,IF(G49="Premium",8,4))</f>
        <v/>
      </c>
      <c r="P49" s="2">
        <f>IF(O49&gt;=75,"Escalate today",IF(O49&gt;=55,"Intervene in 72 hours",IF(O49&gt;=35,"Monitor daily","On track")))</f>
        <v/>
      </c>
    </row>
    <row r="50">
      <c r="A50" s="2" t="inlineStr">
        <is>
          <t>NGX-2026-0049</t>
        </is>
      </c>
      <c r="B50" s="2" t="inlineStr">
        <is>
          <t>Cottonseed Meal</t>
        </is>
      </c>
      <c r="C50" s="2" t="inlineStr">
        <is>
          <t>Interior Elevator Transfer</t>
        </is>
      </c>
      <c r="D50" s="2" t="inlineStr">
        <is>
          <t>Portland OR</t>
        </is>
      </c>
      <c r="E50" s="2" t="inlineStr">
        <is>
          <t>Cedar Valley Feedworks</t>
        </is>
      </c>
      <c r="F50" s="2" t="inlineStr">
        <is>
          <t>Beacon Ingredients</t>
        </is>
      </c>
      <c r="G50" s="2" t="inlineStr">
        <is>
          <t>Premium</t>
        </is>
      </c>
      <c r="H50" s="2" t="inlineStr">
        <is>
          <t>2026-09-11</t>
        </is>
      </c>
      <c r="I50" s="2" t="n">
        <v>1473</v>
      </c>
      <c r="J50" s="2" t="n">
        <v>709986</v>
      </c>
      <c r="K50" s="2" t="n">
        <v>2</v>
      </c>
      <c r="L50" s="2" t="inlineStr">
        <is>
          <t>High</t>
        </is>
      </c>
      <c r="M50" s="2" t="inlineStr">
        <is>
          <t>None</t>
        </is>
      </c>
      <c r="N50" s="2" t="inlineStr">
        <is>
          <t>Priya Raman</t>
        </is>
      </c>
      <c r="O50" s="2">
        <f>IF(L50="Critical",45,IF(L50="High",32,IF(L50="Moderate",18,8)))+IF(K50&lt;2,20,IF(K50&lt;5,10,0))+IF(M50="None",0,18)+IF(G50="Strategic",12,IF(G50="Premium",8,4))</f>
        <v/>
      </c>
      <c r="P50" s="2">
        <f>IF(O50&gt;=75,"Escalate today",IF(O50&gt;=55,"Intervene in 72 hours",IF(O50&gt;=35,"Monitor daily","On track")))</f>
        <v/>
      </c>
    </row>
    <row r="51">
      <c r="A51" s="2" t="inlineStr">
        <is>
          <t>NGX-2026-0050</t>
        </is>
      </c>
      <c r="B51" s="2" t="inlineStr">
        <is>
          <t>Rice</t>
        </is>
      </c>
      <c r="C51" s="2" t="inlineStr">
        <is>
          <t>Atlantic Container</t>
        </is>
      </c>
      <c r="D51" s="2" t="inlineStr">
        <is>
          <t>Portland OR</t>
        </is>
      </c>
      <c r="E51" s="2" t="inlineStr">
        <is>
          <t>Bluewater Foods</t>
        </is>
      </c>
      <c r="F51" s="2" t="inlineStr">
        <is>
          <t>Harborview Milling</t>
        </is>
      </c>
      <c r="G51" s="2" t="inlineStr">
        <is>
          <t>Premium</t>
        </is>
      </c>
      <c r="H51" s="2" t="inlineStr">
        <is>
          <t>2026-09-19</t>
        </is>
      </c>
      <c r="I51" s="2" t="n">
        <v>407</v>
      </c>
      <c r="J51" s="2" t="n">
        <v>246642</v>
      </c>
      <c r="K51" s="2" t="n">
        <v>10</v>
      </c>
      <c r="L51" s="2" t="inlineStr">
        <is>
          <t>Critical</t>
        </is>
      </c>
      <c r="M51" s="2" t="inlineStr">
        <is>
          <t>Supplier attestation late</t>
        </is>
      </c>
      <c r="N51" s="2" t="inlineStr">
        <is>
          <t>Priya Raman</t>
        </is>
      </c>
      <c r="O51" s="2">
        <f>IF(L51="Critical",45,IF(L51="High",32,IF(L51="Moderate",18,8)))+IF(K51&lt;2,20,IF(K51&lt;5,10,0))+IF(M51="None",0,18)+IF(G51="Strategic",12,IF(G51="Premium",8,4))</f>
        <v/>
      </c>
      <c r="P51" s="2">
        <f>IF(O51&gt;=75,"Escalate today",IF(O51&gt;=55,"Intervene in 72 hours",IF(O51&gt;=35,"Monitor daily","On track")))</f>
        <v/>
      </c>
    </row>
    <row r="52">
      <c r="A52" s="2" t="inlineStr">
        <is>
          <t>NGX-2026-0051</t>
        </is>
      </c>
      <c r="B52" s="2" t="inlineStr">
        <is>
          <t>Cottonseed Meal</t>
        </is>
      </c>
      <c r="C52" s="2" t="inlineStr">
        <is>
          <t>Upper Midwest Feed</t>
        </is>
      </c>
      <c r="D52" s="2" t="inlineStr">
        <is>
          <t>Portland OR</t>
        </is>
      </c>
      <c r="E52" s="2" t="inlineStr">
        <is>
          <t>Bluewater Foods</t>
        </is>
      </c>
      <c r="F52" s="2" t="inlineStr">
        <is>
          <t>Harborview Milling</t>
        </is>
      </c>
      <c r="G52" s="2" t="inlineStr">
        <is>
          <t>Premium</t>
        </is>
      </c>
      <c r="H52" s="2" t="inlineStr">
        <is>
          <t>2026-09-19</t>
        </is>
      </c>
      <c r="I52" s="2" t="n">
        <v>3308</v>
      </c>
      <c r="J52" s="2" t="n">
        <v>2170048</v>
      </c>
      <c r="K52" s="2" t="n">
        <v>4</v>
      </c>
      <c r="L52" s="2" t="inlineStr">
        <is>
          <t>Critical</t>
        </is>
      </c>
      <c r="M52" s="2" t="inlineStr">
        <is>
          <t>Chain-of-custody gap</t>
        </is>
      </c>
      <c r="N52" s="2" t="inlineStr">
        <is>
          <t>Priya Raman</t>
        </is>
      </c>
      <c r="O52" s="2">
        <f>IF(L52="Critical",45,IF(L52="High",32,IF(L52="Moderate",18,8)))+IF(K52&lt;2,20,IF(K52&lt;5,10,0))+IF(M52="None",0,18)+IF(G52="Strategic",12,IF(G52="Premium",8,4))</f>
        <v/>
      </c>
      <c r="P52" s="2">
        <f>IF(O52&gt;=75,"Escalate today",IF(O52&gt;=55,"Intervene in 72 hours",IF(O52&gt;=35,"Monitor daily","On track")))</f>
        <v/>
      </c>
    </row>
    <row r="53">
      <c r="A53" s="2" t="inlineStr">
        <is>
          <t>NGX-2026-0052</t>
        </is>
      </c>
      <c r="B53" s="2" t="inlineStr">
        <is>
          <t>Raw Sugar</t>
        </is>
      </c>
      <c r="C53" s="2" t="inlineStr">
        <is>
          <t>Atlantic Container</t>
        </is>
      </c>
      <c r="D53" s="2" t="inlineStr">
        <is>
          <t>Omaha NE</t>
        </is>
      </c>
      <c r="E53" s="2" t="inlineStr">
        <is>
          <t>Lakeside Protein Co.</t>
        </is>
      </c>
      <c r="F53" s="2" t="inlineStr">
        <is>
          <t>Harborview Milling</t>
        </is>
      </c>
      <c r="G53" s="2" t="inlineStr">
        <is>
          <t>Strategic</t>
        </is>
      </c>
      <c r="H53" s="2" t="inlineStr">
        <is>
          <t>2026-09-21</t>
        </is>
      </c>
      <c r="I53" s="2" t="n">
        <v>4014</v>
      </c>
      <c r="J53" s="2" t="n">
        <v>2396358</v>
      </c>
      <c r="K53" s="2" t="n">
        <v>12</v>
      </c>
      <c r="L53" s="2" t="inlineStr">
        <is>
          <t>Moderate</t>
        </is>
      </c>
      <c r="M53" s="2" t="inlineStr">
        <is>
          <t>Chain-of-custody gap</t>
        </is>
      </c>
      <c r="N53" s="2" t="inlineStr">
        <is>
          <t>Maya Chen</t>
        </is>
      </c>
      <c r="O53" s="2">
        <f>IF(L53="Critical",45,IF(L53="High",32,IF(L53="Moderate",18,8)))+IF(K53&lt;2,20,IF(K53&lt;5,10,0))+IF(M53="None",0,18)+IF(G53="Strategic",12,IF(G53="Premium",8,4))</f>
        <v/>
      </c>
      <c r="P53" s="2">
        <f>IF(O53&gt;=75,"Escalate today",IF(O53&gt;=55,"Intervene in 72 hours",IF(O53&gt;=35,"Monitor daily","On track")))</f>
        <v/>
      </c>
    </row>
    <row r="54">
      <c r="A54" s="2" t="inlineStr">
        <is>
          <t>NGX-2026-0053</t>
        </is>
      </c>
      <c r="B54" s="2" t="inlineStr">
        <is>
          <t>Raw Sugar</t>
        </is>
      </c>
      <c r="C54" s="2" t="inlineStr">
        <is>
          <t>Atlantic Container</t>
        </is>
      </c>
      <c r="D54" s="2" t="inlineStr">
        <is>
          <t>St. Louis MO</t>
        </is>
      </c>
      <c r="E54" s="2" t="inlineStr">
        <is>
          <t>Bluewater Foods</t>
        </is>
      </c>
      <c r="F54" s="2" t="inlineStr">
        <is>
          <t>Evergreen Nutrition</t>
        </is>
      </c>
      <c r="G54" s="2" t="inlineStr">
        <is>
          <t>Standard</t>
        </is>
      </c>
      <c r="H54" s="2" t="inlineStr">
        <is>
          <t>2026-09-21</t>
        </is>
      </c>
      <c r="I54" s="2" t="n">
        <v>3636</v>
      </c>
      <c r="J54" s="2" t="n">
        <v>1050804</v>
      </c>
      <c r="K54" s="2" t="n">
        <v>11</v>
      </c>
      <c r="L54" s="2" t="inlineStr">
        <is>
          <t>Moderate</t>
        </is>
      </c>
      <c r="M54" s="2" t="inlineStr">
        <is>
          <t>None</t>
        </is>
      </c>
      <c r="N54" s="2" t="inlineStr">
        <is>
          <t>Evan Brooks</t>
        </is>
      </c>
      <c r="O54" s="2">
        <f>IF(L54="Critical",45,IF(L54="High",32,IF(L54="Moderate",18,8)))+IF(K54&lt;2,20,IF(K54&lt;5,10,0))+IF(M54="None",0,18)+IF(G54="Strategic",12,IF(G54="Premium",8,4))</f>
        <v/>
      </c>
      <c r="P54" s="2">
        <f>IF(O54&gt;=75,"Escalate today",IF(O54&gt;=55,"Intervene in 72 hours",IF(O54&gt;=35,"Monitor daily","On track")))</f>
        <v/>
      </c>
    </row>
    <row r="55">
      <c r="A55" s="2" t="inlineStr">
        <is>
          <t>NGX-2026-0054</t>
        </is>
      </c>
      <c r="B55" s="2" t="inlineStr">
        <is>
          <t>Canola</t>
        </is>
      </c>
      <c r="C55" s="2" t="inlineStr">
        <is>
          <t>Gulf Export</t>
        </is>
      </c>
      <c r="D55" s="2" t="inlineStr">
        <is>
          <t>St. Louis MO</t>
        </is>
      </c>
      <c r="E55" s="2" t="inlineStr">
        <is>
          <t>Lakeside Protein Co.</t>
        </is>
      </c>
      <c r="F55" s="2" t="inlineStr">
        <is>
          <t>Evergreen Nutrition</t>
        </is>
      </c>
      <c r="G55" s="2" t="inlineStr">
        <is>
          <t>Strategic</t>
        </is>
      </c>
      <c r="H55" s="2" t="inlineStr">
        <is>
          <t>2026-09-14</t>
        </is>
      </c>
      <c r="I55" s="2" t="n">
        <v>1940</v>
      </c>
      <c r="J55" s="2" t="n">
        <v>1150420</v>
      </c>
      <c r="K55" s="2" t="n">
        <v>5</v>
      </c>
      <c r="L55" s="2" t="inlineStr">
        <is>
          <t>Critical</t>
        </is>
      </c>
      <c r="M55" s="2" t="inlineStr">
        <is>
          <t>Mass balance variance</t>
        </is>
      </c>
      <c r="N55" s="2" t="inlineStr">
        <is>
          <t>Lena Ortiz</t>
        </is>
      </c>
      <c r="O55" s="2">
        <f>IF(L55="Critical",45,IF(L55="High",32,IF(L55="Moderate",18,8)))+IF(K55&lt;2,20,IF(K55&lt;5,10,0))+IF(M55="None",0,18)+IF(G55="Strategic",12,IF(G55="Premium",8,4))</f>
        <v/>
      </c>
      <c r="P55" s="2">
        <f>IF(O55&gt;=75,"Escalate today",IF(O55&gt;=55,"Intervene in 72 hours",IF(O55&gt;=35,"Monitor daily","On track")))</f>
        <v/>
      </c>
    </row>
    <row r="56">
      <c r="A56" s="2" t="inlineStr">
        <is>
          <t>NGX-2026-0055</t>
        </is>
      </c>
      <c r="B56" s="2" t="inlineStr">
        <is>
          <t>Cottonseed Meal</t>
        </is>
      </c>
      <c r="C56" s="2" t="inlineStr">
        <is>
          <t>Lower Mississippi Barge</t>
        </is>
      </c>
      <c r="D56" s="2" t="inlineStr">
        <is>
          <t>Davenport IA</t>
        </is>
      </c>
      <c r="E56" s="2" t="inlineStr">
        <is>
          <t>Cedar Valley Feedworks</t>
        </is>
      </c>
      <c r="F56" s="2" t="inlineStr">
        <is>
          <t>Crescent Bakery Group</t>
        </is>
      </c>
      <c r="G56" s="2" t="inlineStr">
        <is>
          <t>Standard</t>
        </is>
      </c>
      <c r="H56" s="2" t="inlineStr">
        <is>
          <t>2026-09-18</t>
        </is>
      </c>
      <c r="I56" s="2" t="n">
        <v>4167</v>
      </c>
      <c r="J56" s="2" t="n">
        <v>2279349</v>
      </c>
      <c r="K56" s="2" t="n">
        <v>2</v>
      </c>
      <c r="L56" s="2" t="inlineStr">
        <is>
          <t>High</t>
        </is>
      </c>
      <c r="M56" s="2" t="inlineStr">
        <is>
          <t>Document review</t>
        </is>
      </c>
      <c r="N56" s="2" t="inlineStr">
        <is>
          <t>Noah Whitaker</t>
        </is>
      </c>
      <c r="O56" s="2">
        <f>IF(L56="Critical",45,IF(L56="High",32,IF(L56="Moderate",18,8)))+IF(K56&lt;2,20,IF(K56&lt;5,10,0))+IF(M56="None",0,18)+IF(G56="Strategic",12,IF(G56="Premium",8,4))</f>
        <v/>
      </c>
      <c r="P56" s="2">
        <f>IF(O56&gt;=75,"Escalate today",IF(O56&gt;=55,"Intervene in 72 hours",IF(O56&gt;=35,"Monitor daily","On track")))</f>
        <v/>
      </c>
    </row>
    <row r="57">
      <c r="A57" s="2" t="inlineStr">
        <is>
          <t>NGX-2026-0056</t>
        </is>
      </c>
      <c r="B57" s="2" t="inlineStr">
        <is>
          <t>Soybean Meal</t>
        </is>
      </c>
      <c r="C57" s="2" t="inlineStr">
        <is>
          <t>Pacific Northwest Rail</t>
        </is>
      </c>
      <c r="D57" s="2" t="inlineStr">
        <is>
          <t>Omaha NE</t>
        </is>
      </c>
      <c r="E57" s="2" t="inlineStr">
        <is>
          <t>Tacoma Export Pier</t>
        </is>
      </c>
      <c r="F57" s="2" t="inlineStr">
        <is>
          <t>Bluewater Foods</t>
        </is>
      </c>
      <c r="G57" s="2" t="inlineStr">
        <is>
          <t>Standard</t>
        </is>
      </c>
      <c r="H57" s="2" t="inlineStr">
        <is>
          <t>2026-09-13</t>
        </is>
      </c>
      <c r="I57" s="2" t="n">
        <v>2414</v>
      </c>
      <c r="J57" s="2" t="n">
        <v>1380808</v>
      </c>
      <c r="K57" s="2" t="n">
        <v>11</v>
      </c>
      <c r="L57" s="2" t="inlineStr">
        <is>
          <t>Low</t>
        </is>
      </c>
      <c r="M57" s="2" t="inlineStr">
        <is>
          <t>Supplier attestation late</t>
        </is>
      </c>
      <c r="N57" s="2" t="inlineStr">
        <is>
          <t>Evan Brooks</t>
        </is>
      </c>
      <c r="O57" s="2">
        <f>IF(L57="Critical",45,IF(L57="High",32,IF(L57="Moderate",18,8)))+IF(K57&lt;2,20,IF(K57&lt;5,10,0))+IF(M57="None",0,18)+IF(G57="Strategic",12,IF(G57="Premium",8,4))</f>
        <v/>
      </c>
      <c r="P57" s="2">
        <f>IF(O57&gt;=75,"Escalate today",IF(O57&gt;=55,"Intervene in 72 hours",IF(O57&gt;=35,"Monitor daily","On track")))</f>
        <v/>
      </c>
    </row>
    <row r="58">
      <c r="A58" s="2" t="inlineStr">
        <is>
          <t>NGX-2026-0057</t>
        </is>
      </c>
      <c r="B58" s="2" t="inlineStr">
        <is>
          <t>Raw Sugar</t>
        </is>
      </c>
      <c r="C58" s="2" t="inlineStr">
        <is>
          <t>Upper Midwest Feed</t>
        </is>
      </c>
      <c r="D58" s="2" t="inlineStr">
        <is>
          <t>Memphis TN</t>
        </is>
      </c>
      <c r="E58" s="2" t="inlineStr">
        <is>
          <t>Cedar Valley Feedworks</t>
        </is>
      </c>
      <c r="F58" s="2" t="inlineStr">
        <is>
          <t>Harborview Milling</t>
        </is>
      </c>
      <c r="G58" s="2" t="inlineStr">
        <is>
          <t>Standard</t>
        </is>
      </c>
      <c r="H58" s="2" t="inlineStr">
        <is>
          <t>2026-09-09</t>
        </is>
      </c>
      <c r="I58" s="2" t="n">
        <v>3921</v>
      </c>
      <c r="J58" s="2" t="n">
        <v>1533111</v>
      </c>
      <c r="K58" s="2" t="n">
        <v>12</v>
      </c>
      <c r="L58" s="2" t="inlineStr">
        <is>
          <t>High</t>
        </is>
      </c>
      <c r="M58" s="2" t="inlineStr">
        <is>
          <t>Mass balance variance</t>
        </is>
      </c>
      <c r="N58" s="2" t="inlineStr">
        <is>
          <t>Evan Brooks</t>
        </is>
      </c>
      <c r="O58" s="2">
        <f>IF(L58="Critical",45,IF(L58="High",32,IF(L58="Moderate",18,8)))+IF(K58&lt;2,20,IF(K58&lt;5,10,0))+IF(M58="None",0,18)+IF(G58="Strategic",12,IF(G58="Premium",8,4))</f>
        <v/>
      </c>
      <c r="P58" s="2">
        <f>IF(O58&gt;=75,"Escalate today",IF(O58&gt;=55,"Intervene in 72 hours",IF(O58&gt;=35,"Monitor daily","On track")))</f>
        <v/>
      </c>
    </row>
    <row r="59">
      <c r="A59" s="2" t="inlineStr">
        <is>
          <t>NGX-2026-0058</t>
        </is>
      </c>
      <c r="B59" s="2" t="inlineStr">
        <is>
          <t>Canola</t>
        </is>
      </c>
      <c r="C59" s="2" t="inlineStr">
        <is>
          <t>Upper Midwest Feed</t>
        </is>
      </c>
      <c r="D59" s="2" t="inlineStr">
        <is>
          <t>St. Louis MO</t>
        </is>
      </c>
      <c r="E59" s="2" t="inlineStr">
        <is>
          <t>Harborview Milling</t>
        </is>
      </c>
      <c r="F59" s="2" t="inlineStr">
        <is>
          <t>Bluewater Foods</t>
        </is>
      </c>
      <c r="G59" s="2" t="inlineStr">
        <is>
          <t>Premium</t>
        </is>
      </c>
      <c r="H59" s="2" t="inlineStr">
        <is>
          <t>2026-09-19</t>
        </is>
      </c>
      <c r="I59" s="2" t="n">
        <v>353</v>
      </c>
      <c r="J59" s="2" t="n">
        <v>96369</v>
      </c>
      <c r="K59" s="2" t="n">
        <v>8</v>
      </c>
      <c r="L59" s="2" t="inlineStr">
        <is>
          <t>Moderate</t>
        </is>
      </c>
      <c r="M59" s="2" t="inlineStr">
        <is>
          <t>Chain-of-custody gap</t>
        </is>
      </c>
      <c r="N59" s="2" t="inlineStr">
        <is>
          <t>Priya Raman</t>
        </is>
      </c>
      <c r="O59" s="2">
        <f>IF(L59="Critical",45,IF(L59="High",32,IF(L59="Moderate",18,8)))+IF(K59&lt;2,20,IF(K59&lt;5,10,0))+IF(M59="None",0,18)+IF(G59="Strategic",12,IF(G59="Premium",8,4))</f>
        <v/>
      </c>
      <c r="P59" s="2">
        <f>IF(O59&gt;=75,"Escalate today",IF(O59&gt;=55,"Intervene in 72 hours",IF(O59&gt;=35,"Monitor daily","On track")))</f>
        <v/>
      </c>
    </row>
    <row r="60">
      <c r="A60" s="2" t="inlineStr">
        <is>
          <t>NGX-2026-0059</t>
        </is>
      </c>
      <c r="B60" s="2" t="inlineStr">
        <is>
          <t>Raw Sugar</t>
        </is>
      </c>
      <c r="C60" s="2" t="inlineStr">
        <is>
          <t>Upper Midwest Feed</t>
        </is>
      </c>
      <c r="D60" s="2" t="inlineStr">
        <is>
          <t>Portland OR</t>
        </is>
      </c>
      <c r="E60" s="2" t="inlineStr">
        <is>
          <t>Cedar Valley Feedworks</t>
        </is>
      </c>
      <c r="F60" s="2" t="inlineStr">
        <is>
          <t>Beacon Ingredients</t>
        </is>
      </c>
      <c r="G60" s="2" t="inlineStr">
        <is>
          <t>Strategic</t>
        </is>
      </c>
      <c r="H60" s="2" t="inlineStr">
        <is>
          <t>2026-09-07</t>
        </is>
      </c>
      <c r="I60" s="2" t="n">
        <v>2172</v>
      </c>
      <c r="J60" s="2" t="n">
        <v>1036044</v>
      </c>
      <c r="K60" s="2" t="n">
        <v>1</v>
      </c>
      <c r="L60" s="2" t="inlineStr">
        <is>
          <t>Moderate</t>
        </is>
      </c>
      <c r="M60" s="2" t="inlineStr">
        <is>
          <t>None</t>
        </is>
      </c>
      <c r="N60" s="2" t="inlineStr">
        <is>
          <t>Lena Ortiz</t>
        </is>
      </c>
      <c r="O60" s="2">
        <f>IF(L60="Critical",45,IF(L60="High",32,IF(L60="Moderate",18,8)))+IF(K60&lt;2,20,IF(K60&lt;5,10,0))+IF(M60="None",0,18)+IF(G60="Strategic",12,IF(G60="Premium",8,4))</f>
        <v/>
      </c>
      <c r="P60" s="2">
        <f>IF(O60&gt;=75,"Escalate today",IF(O60&gt;=55,"Intervene in 72 hours",IF(O60&gt;=35,"Monitor daily","On track")))</f>
        <v/>
      </c>
    </row>
    <row r="61">
      <c r="A61" s="2" t="inlineStr">
        <is>
          <t>NGX-2026-0060</t>
        </is>
      </c>
      <c r="B61" s="2" t="inlineStr">
        <is>
          <t>Corn</t>
        </is>
      </c>
      <c r="C61" s="2" t="inlineStr">
        <is>
          <t>Gulf Export</t>
        </is>
      </c>
      <c r="D61" s="2" t="inlineStr">
        <is>
          <t>Savannah GA</t>
        </is>
      </c>
      <c r="E61" s="2" t="inlineStr">
        <is>
          <t>Beacon Ingredients</t>
        </is>
      </c>
      <c r="F61" s="2" t="inlineStr">
        <is>
          <t>Crescent Bakery Group</t>
        </is>
      </c>
      <c r="G61" s="2" t="inlineStr">
        <is>
          <t>Premium</t>
        </is>
      </c>
      <c r="H61" s="2" t="inlineStr">
        <is>
          <t>2026-09-10</t>
        </is>
      </c>
      <c r="I61" s="2" t="n">
        <v>3910</v>
      </c>
      <c r="J61" s="2" t="n">
        <v>2236520</v>
      </c>
      <c r="K61" s="2" t="n">
        <v>0</v>
      </c>
      <c r="L61" s="2" t="inlineStr">
        <is>
          <t>Moderate</t>
        </is>
      </c>
      <c r="M61" s="2" t="inlineStr">
        <is>
          <t>Mass balance variance</t>
        </is>
      </c>
      <c r="N61" s="2" t="inlineStr">
        <is>
          <t>Evan Brooks</t>
        </is>
      </c>
      <c r="O61" s="2">
        <f>IF(L61="Critical",45,IF(L61="High",32,IF(L61="Moderate",18,8)))+IF(K61&lt;2,20,IF(K61&lt;5,10,0))+IF(M61="None",0,18)+IF(G61="Strategic",12,IF(G61="Premium",8,4))</f>
        <v/>
      </c>
      <c r="P61" s="2">
        <f>IF(O61&gt;=75,"Escalate today",IF(O61&gt;=55,"Intervene in 72 hours",IF(O61&gt;=35,"Monitor daily","On track")))</f>
        <v/>
      </c>
    </row>
    <row r="62">
      <c r="A62" s="2" t="inlineStr">
        <is>
          <t>NGX-2026-0061</t>
        </is>
      </c>
      <c r="B62" s="2" t="inlineStr">
        <is>
          <t>Cottonseed Meal</t>
        </is>
      </c>
      <c r="C62" s="2" t="inlineStr">
        <is>
          <t>Interior Elevator Transfer</t>
        </is>
      </c>
      <c r="D62" s="2" t="inlineStr">
        <is>
          <t>Toledo OH</t>
        </is>
      </c>
      <c r="E62" s="2" t="inlineStr">
        <is>
          <t>Cedar Valley Feedworks</t>
        </is>
      </c>
      <c r="F62" s="2" t="inlineStr">
        <is>
          <t>Beacon Ingredients</t>
        </is>
      </c>
      <c r="G62" s="2" t="inlineStr">
        <is>
          <t>Premium</t>
        </is>
      </c>
      <c r="H62" s="2" t="inlineStr">
        <is>
          <t>2026-09-11</t>
        </is>
      </c>
      <c r="I62" s="2" t="n">
        <v>1067</v>
      </c>
      <c r="J62" s="2" t="n">
        <v>678612</v>
      </c>
      <c r="K62" s="2" t="n">
        <v>2</v>
      </c>
      <c r="L62" s="2" t="inlineStr">
        <is>
          <t>High</t>
        </is>
      </c>
      <c r="M62" s="2" t="inlineStr">
        <is>
          <t>Mass balance variance</t>
        </is>
      </c>
      <c r="N62" s="2" t="inlineStr">
        <is>
          <t>Priya Raman</t>
        </is>
      </c>
      <c r="O62" s="2">
        <f>IF(L62="Critical",45,IF(L62="High",32,IF(L62="Moderate",18,8)))+IF(K62&lt;2,20,IF(K62&lt;5,10,0))+IF(M62="None",0,18)+IF(G62="Strategic",12,IF(G62="Premium",8,4))</f>
        <v/>
      </c>
      <c r="P62" s="2">
        <f>IF(O62&gt;=75,"Escalate today",IF(O62&gt;=55,"Intervene in 72 hours",IF(O62&gt;=35,"Monitor daily","On track")))</f>
        <v/>
      </c>
    </row>
    <row r="63">
      <c r="A63" s="2" t="inlineStr">
        <is>
          <t>NGX-2026-0062</t>
        </is>
      </c>
      <c r="B63" s="2" t="inlineStr">
        <is>
          <t>Rice</t>
        </is>
      </c>
      <c r="C63" s="2" t="inlineStr">
        <is>
          <t>Interior Elevator Transfer</t>
        </is>
      </c>
      <c r="D63" s="2" t="inlineStr">
        <is>
          <t>Fresno CA</t>
        </is>
      </c>
      <c r="E63" s="2" t="inlineStr">
        <is>
          <t>Beacon Ingredients</t>
        </is>
      </c>
      <c r="F63" s="2" t="inlineStr">
        <is>
          <t>Lakeside Protein Co.</t>
        </is>
      </c>
      <c r="G63" s="2" t="inlineStr">
        <is>
          <t>Strategic</t>
        </is>
      </c>
      <c r="H63" s="2" t="inlineStr">
        <is>
          <t>2026-09-09</t>
        </is>
      </c>
      <c r="I63" s="2" t="n">
        <v>3627</v>
      </c>
      <c r="J63" s="2" t="n">
        <v>1454427</v>
      </c>
      <c r="K63" s="2" t="n">
        <v>11</v>
      </c>
      <c r="L63" s="2" t="inlineStr">
        <is>
          <t>High</t>
        </is>
      </c>
      <c r="M63" s="2" t="inlineStr">
        <is>
          <t>Chain-of-custody gap</t>
        </is>
      </c>
      <c r="N63" s="2" t="inlineStr">
        <is>
          <t>Priya Raman</t>
        </is>
      </c>
      <c r="O63" s="2">
        <f>IF(L63="Critical",45,IF(L63="High",32,IF(L63="Moderate",18,8)))+IF(K63&lt;2,20,IF(K63&lt;5,10,0))+IF(M63="None",0,18)+IF(G63="Strategic",12,IF(G63="Premium",8,4))</f>
        <v/>
      </c>
      <c r="P63" s="2">
        <f>IF(O63&gt;=75,"Escalate today",IF(O63&gt;=55,"Intervene in 72 hours",IF(O63&gt;=35,"Monitor daily","On track")))</f>
        <v/>
      </c>
    </row>
    <row r="64">
      <c r="A64" s="2" t="inlineStr">
        <is>
          <t>NGX-2026-0063</t>
        </is>
      </c>
      <c r="B64" s="2" t="inlineStr">
        <is>
          <t>Raw Sugar</t>
        </is>
      </c>
      <c r="C64" s="2" t="inlineStr">
        <is>
          <t>Upper Midwest Feed</t>
        </is>
      </c>
      <c r="D64" s="2" t="inlineStr">
        <is>
          <t>Toledo OH</t>
        </is>
      </c>
      <c r="E64" s="2" t="inlineStr">
        <is>
          <t>Lakeside Protein Co.</t>
        </is>
      </c>
      <c r="F64" s="2" t="inlineStr">
        <is>
          <t>Pioneer Feed Cooperative</t>
        </is>
      </c>
      <c r="G64" s="2" t="inlineStr">
        <is>
          <t>Strategic</t>
        </is>
      </c>
      <c r="H64" s="2" t="inlineStr">
        <is>
          <t>2026-09-11</t>
        </is>
      </c>
      <c r="I64" s="2" t="n">
        <v>4246</v>
      </c>
      <c r="J64" s="2" t="n">
        <v>1923438</v>
      </c>
      <c r="K64" s="2" t="n">
        <v>0</v>
      </c>
      <c r="L64" s="2" t="inlineStr">
        <is>
          <t>Low</t>
        </is>
      </c>
      <c r="M64" s="2" t="inlineStr">
        <is>
          <t>Supplier attestation late</t>
        </is>
      </c>
      <c r="N64" s="2" t="inlineStr">
        <is>
          <t>Lena Ortiz</t>
        </is>
      </c>
      <c r="O64" s="2">
        <f>IF(L64="Critical",45,IF(L64="High",32,IF(L64="Moderate",18,8)))+IF(K64&lt;2,20,IF(K64&lt;5,10,0))+IF(M64="None",0,18)+IF(G64="Strategic",12,IF(G64="Premium",8,4))</f>
        <v/>
      </c>
      <c r="P64" s="2">
        <f>IF(O64&gt;=75,"Escalate today",IF(O64&gt;=55,"Intervene in 72 hours",IF(O64&gt;=35,"Monitor daily","On track")))</f>
        <v/>
      </c>
    </row>
    <row r="65">
      <c r="A65" s="2" t="inlineStr">
        <is>
          <t>NGX-2026-0064</t>
        </is>
      </c>
      <c r="B65" s="2" t="inlineStr">
        <is>
          <t>Raw Sugar</t>
        </is>
      </c>
      <c r="C65" s="2" t="inlineStr">
        <is>
          <t>Atlantic Container</t>
        </is>
      </c>
      <c r="D65" s="2" t="inlineStr">
        <is>
          <t>Toledo OH</t>
        </is>
      </c>
      <c r="E65" s="2" t="inlineStr">
        <is>
          <t>Bluewater Foods</t>
        </is>
      </c>
      <c r="F65" s="2" t="inlineStr">
        <is>
          <t>Lakeside Protein Co.</t>
        </is>
      </c>
      <c r="G65" s="2" t="inlineStr">
        <is>
          <t>Premium</t>
        </is>
      </c>
      <c r="H65" s="2" t="inlineStr">
        <is>
          <t>2026-09-11</t>
        </is>
      </c>
      <c r="I65" s="2" t="n">
        <v>4928</v>
      </c>
      <c r="J65" s="2" t="n">
        <v>2459072</v>
      </c>
      <c r="K65" s="2" t="n">
        <v>10</v>
      </c>
      <c r="L65" s="2" t="inlineStr">
        <is>
          <t>Critical</t>
        </is>
      </c>
      <c r="M65" s="2" t="inlineStr">
        <is>
          <t>Mass balance variance</t>
        </is>
      </c>
      <c r="N65" s="2" t="inlineStr">
        <is>
          <t>Priya Raman</t>
        </is>
      </c>
      <c r="O65" s="2">
        <f>IF(L65="Critical",45,IF(L65="High",32,IF(L65="Moderate",18,8)))+IF(K65&lt;2,20,IF(K65&lt;5,10,0))+IF(M65="None",0,18)+IF(G65="Strategic",12,IF(G65="Premium",8,4))</f>
        <v/>
      </c>
      <c r="P65" s="2">
        <f>IF(O65&gt;=75,"Escalate today",IF(O65&gt;=55,"Intervene in 72 hours",IF(O65&gt;=35,"Monitor daily","On track")))</f>
        <v/>
      </c>
    </row>
    <row r="66">
      <c r="A66" s="2" t="inlineStr">
        <is>
          <t>NGX-2026-0065</t>
        </is>
      </c>
      <c r="B66" s="2" t="inlineStr">
        <is>
          <t>Coffee Beans</t>
        </is>
      </c>
      <c r="C66" s="2" t="inlineStr">
        <is>
          <t>Pacific Northwest Rail</t>
        </is>
      </c>
      <c r="D66" s="2" t="inlineStr">
        <is>
          <t>Portland OR</t>
        </is>
      </c>
      <c r="E66" s="2" t="inlineStr">
        <is>
          <t>Beacon Ingredients</t>
        </is>
      </c>
      <c r="F66" s="2" t="inlineStr">
        <is>
          <t>Evergreen Nutrition</t>
        </is>
      </c>
      <c r="G66" s="2" t="inlineStr">
        <is>
          <t>Standard</t>
        </is>
      </c>
      <c r="H66" s="2" t="inlineStr">
        <is>
          <t>2026-09-15</t>
        </is>
      </c>
      <c r="I66" s="2" t="n">
        <v>1010</v>
      </c>
      <c r="J66" s="2" t="n">
        <v>508030</v>
      </c>
      <c r="K66" s="2" t="n">
        <v>8</v>
      </c>
      <c r="L66" s="2" t="inlineStr">
        <is>
          <t>Low</t>
        </is>
      </c>
      <c r="M66" s="2" t="inlineStr">
        <is>
          <t>Chain-of-custody gap</t>
        </is>
      </c>
      <c r="N66" s="2" t="inlineStr">
        <is>
          <t>Maya Chen</t>
        </is>
      </c>
      <c r="O66" s="2">
        <f>IF(L66="Critical",45,IF(L66="High",32,IF(L66="Moderate",18,8)))+IF(K66&lt;2,20,IF(K66&lt;5,10,0))+IF(M66="None",0,18)+IF(G66="Strategic",12,IF(G66="Premium",8,4))</f>
        <v/>
      </c>
      <c r="P66" s="2">
        <f>IF(O66&gt;=75,"Escalate today",IF(O66&gt;=55,"Intervene in 72 hours",IF(O66&gt;=35,"Monitor daily","On track")))</f>
        <v/>
      </c>
    </row>
    <row r="67">
      <c r="A67" s="2" t="inlineStr">
        <is>
          <t>NGX-2026-0066</t>
        </is>
      </c>
      <c r="B67" s="2" t="inlineStr">
        <is>
          <t>Soybean Meal</t>
        </is>
      </c>
      <c r="C67" s="2" t="inlineStr">
        <is>
          <t>Atlantic Container</t>
        </is>
      </c>
      <c r="D67" s="2" t="inlineStr">
        <is>
          <t>Savannah GA</t>
        </is>
      </c>
      <c r="E67" s="2" t="inlineStr">
        <is>
          <t>Crescent Bakery Group</t>
        </is>
      </c>
      <c r="F67" s="2" t="inlineStr">
        <is>
          <t>Pioneer Feed Cooperative</t>
        </is>
      </c>
      <c r="G67" s="2" t="inlineStr">
        <is>
          <t>Standard</t>
        </is>
      </c>
      <c r="H67" s="2" t="inlineStr">
        <is>
          <t>2026-09-10</t>
        </is>
      </c>
      <c r="I67" s="2" t="n">
        <v>4174</v>
      </c>
      <c r="J67" s="2" t="n">
        <v>1686296</v>
      </c>
      <c r="K67" s="2" t="n">
        <v>3</v>
      </c>
      <c r="L67" s="2" t="inlineStr">
        <is>
          <t>Critical</t>
        </is>
      </c>
      <c r="M67" s="2" t="inlineStr">
        <is>
          <t>None</t>
        </is>
      </c>
      <c r="N67" s="2" t="inlineStr">
        <is>
          <t>Maya Chen</t>
        </is>
      </c>
      <c r="O67" s="2">
        <f>IF(L67="Critical",45,IF(L67="High",32,IF(L67="Moderate",18,8)))+IF(K67&lt;2,20,IF(K67&lt;5,10,0))+IF(M67="None",0,18)+IF(G67="Strategic",12,IF(G67="Premium",8,4))</f>
        <v/>
      </c>
      <c r="P67" s="2">
        <f>IF(O67&gt;=75,"Escalate today",IF(O67&gt;=55,"Intervene in 72 hours",IF(O67&gt;=35,"Monitor daily","On track")))</f>
        <v/>
      </c>
    </row>
    <row r="68">
      <c r="A68" s="2" t="inlineStr">
        <is>
          <t>NGX-2026-0067</t>
        </is>
      </c>
      <c r="B68" s="2" t="inlineStr">
        <is>
          <t>Soft Red Winter Wheat</t>
        </is>
      </c>
      <c r="C68" s="2" t="inlineStr">
        <is>
          <t>Upper Midwest Feed</t>
        </is>
      </c>
      <c r="D68" s="2" t="inlineStr">
        <is>
          <t>Davenport IA</t>
        </is>
      </c>
      <c r="E68" s="2" t="inlineStr">
        <is>
          <t>Beacon Ingredients</t>
        </is>
      </c>
      <c r="F68" s="2" t="inlineStr">
        <is>
          <t>Crescent Bakery Group</t>
        </is>
      </c>
      <c r="G68" s="2" t="inlineStr">
        <is>
          <t>Strategic</t>
        </is>
      </c>
      <c r="H68" s="2" t="inlineStr">
        <is>
          <t>2026-09-10</t>
        </is>
      </c>
      <c r="I68" s="2" t="n">
        <v>5183</v>
      </c>
      <c r="J68" s="2" t="n">
        <v>1466789</v>
      </c>
      <c r="K68" s="2" t="n">
        <v>9</v>
      </c>
      <c r="L68" s="2" t="inlineStr">
        <is>
          <t>High</t>
        </is>
      </c>
      <c r="M68" s="2" t="inlineStr">
        <is>
          <t>Document review</t>
        </is>
      </c>
      <c r="N68" s="2" t="inlineStr">
        <is>
          <t>Priya Raman</t>
        </is>
      </c>
      <c r="O68" s="2">
        <f>IF(L68="Critical",45,IF(L68="High",32,IF(L68="Moderate",18,8)))+IF(K68&lt;2,20,IF(K68&lt;5,10,0))+IF(M68="None",0,18)+IF(G68="Strategic",12,IF(G68="Premium",8,4))</f>
        <v/>
      </c>
      <c r="P68" s="2">
        <f>IF(O68&gt;=75,"Escalate today",IF(O68&gt;=55,"Intervene in 72 hours",IF(O68&gt;=35,"Monitor daily","On track")))</f>
        <v/>
      </c>
    </row>
    <row r="69">
      <c r="A69" s="2" t="inlineStr">
        <is>
          <t>NGX-2026-0068</t>
        </is>
      </c>
      <c r="B69" s="2" t="inlineStr">
        <is>
          <t>Rice</t>
        </is>
      </c>
      <c r="C69" s="2" t="inlineStr">
        <is>
          <t>Atlantic Container</t>
        </is>
      </c>
      <c r="D69" s="2" t="inlineStr">
        <is>
          <t>Savannah GA</t>
        </is>
      </c>
      <c r="E69" s="2" t="inlineStr">
        <is>
          <t>Cedar Valley Feedworks</t>
        </is>
      </c>
      <c r="F69" s="2" t="inlineStr">
        <is>
          <t>Crescent Bakery Group</t>
        </is>
      </c>
      <c r="G69" s="2" t="inlineStr">
        <is>
          <t>Premium</t>
        </is>
      </c>
      <c r="H69" s="2" t="inlineStr">
        <is>
          <t>2026-09-15</t>
        </is>
      </c>
      <c r="I69" s="2" t="n">
        <v>3460</v>
      </c>
      <c r="J69" s="2" t="n">
        <v>750820</v>
      </c>
      <c r="K69" s="2" t="n">
        <v>6</v>
      </c>
      <c r="L69" s="2" t="inlineStr">
        <is>
          <t>Low</t>
        </is>
      </c>
      <c r="M69" s="2" t="inlineStr">
        <is>
          <t>Chain-of-custody gap</t>
        </is>
      </c>
      <c r="N69" s="2" t="inlineStr">
        <is>
          <t>Lena Ortiz</t>
        </is>
      </c>
      <c r="O69" s="2">
        <f>IF(L69="Critical",45,IF(L69="High",32,IF(L69="Moderate",18,8)))+IF(K69&lt;2,20,IF(K69&lt;5,10,0))+IF(M69="None",0,18)+IF(G69="Strategic",12,IF(G69="Premium",8,4))</f>
        <v/>
      </c>
      <c r="P69" s="2">
        <f>IF(O69&gt;=75,"Escalate today",IF(O69&gt;=55,"Intervene in 72 hours",IF(O69&gt;=35,"Monitor daily","On track")))</f>
        <v/>
      </c>
    </row>
    <row r="70">
      <c r="A70" s="2" t="inlineStr">
        <is>
          <t>NGX-2026-0069</t>
        </is>
      </c>
      <c r="B70" s="2" t="inlineStr">
        <is>
          <t>Cottonseed Meal</t>
        </is>
      </c>
      <c r="C70" s="2" t="inlineStr">
        <is>
          <t>Upper Midwest Feed</t>
        </is>
      </c>
      <c r="D70" s="2" t="inlineStr">
        <is>
          <t>Omaha NE</t>
        </is>
      </c>
      <c r="E70" s="2" t="inlineStr">
        <is>
          <t>New Orleans Terminal</t>
        </is>
      </c>
      <c r="F70" s="2" t="inlineStr">
        <is>
          <t>Pioneer Feed Cooperative</t>
        </is>
      </c>
      <c r="G70" s="2" t="inlineStr">
        <is>
          <t>Premium</t>
        </is>
      </c>
      <c r="H70" s="2" t="inlineStr">
        <is>
          <t>2026-09-12</t>
        </is>
      </c>
      <c r="I70" s="2" t="n">
        <v>3468</v>
      </c>
      <c r="J70" s="2" t="n">
        <v>2216052</v>
      </c>
      <c r="K70" s="2" t="n">
        <v>3</v>
      </c>
      <c r="L70" s="2" t="inlineStr">
        <is>
          <t>Low</t>
        </is>
      </c>
      <c r="M70" s="2" t="inlineStr">
        <is>
          <t>Mass balance variance</t>
        </is>
      </c>
      <c r="N70" s="2" t="inlineStr">
        <is>
          <t>Evan Brooks</t>
        </is>
      </c>
      <c r="O70" s="2">
        <f>IF(L70="Critical",45,IF(L70="High",32,IF(L70="Moderate",18,8)))+IF(K70&lt;2,20,IF(K70&lt;5,10,0))+IF(M70="None",0,18)+IF(G70="Strategic",12,IF(G70="Premium",8,4))</f>
        <v/>
      </c>
      <c r="P70" s="2">
        <f>IF(O70&gt;=75,"Escalate today",IF(O70&gt;=55,"Intervene in 72 hours",IF(O70&gt;=35,"Monitor daily","On track")))</f>
        <v/>
      </c>
    </row>
    <row r="71">
      <c r="A71" s="2" t="inlineStr">
        <is>
          <t>NGX-2026-0070</t>
        </is>
      </c>
      <c r="B71" s="2" t="inlineStr">
        <is>
          <t>Coffee Beans</t>
        </is>
      </c>
      <c r="C71" s="2" t="inlineStr">
        <is>
          <t>Lower Mississippi Barge</t>
        </is>
      </c>
      <c r="D71" s="2" t="inlineStr">
        <is>
          <t>Portland OR</t>
        </is>
      </c>
      <c r="E71" s="2" t="inlineStr">
        <is>
          <t>Bluewater Foods</t>
        </is>
      </c>
      <c r="F71" s="2" t="inlineStr">
        <is>
          <t>Beacon Ingredients</t>
        </is>
      </c>
      <c r="G71" s="2" t="inlineStr">
        <is>
          <t>Standard</t>
        </is>
      </c>
      <c r="H71" s="2" t="inlineStr">
        <is>
          <t>2026-09-20</t>
        </is>
      </c>
      <c r="I71" s="2" t="n">
        <v>1160</v>
      </c>
      <c r="J71" s="2" t="n">
        <v>583480</v>
      </c>
      <c r="K71" s="2" t="n">
        <v>9</v>
      </c>
      <c r="L71" s="2" t="inlineStr">
        <is>
          <t>Low</t>
        </is>
      </c>
      <c r="M71" s="2" t="inlineStr">
        <is>
          <t>Supplier attestation late</t>
        </is>
      </c>
      <c r="N71" s="2" t="inlineStr">
        <is>
          <t>Evan Brooks</t>
        </is>
      </c>
      <c r="O71" s="2">
        <f>IF(L71="Critical",45,IF(L71="High",32,IF(L71="Moderate",18,8)))+IF(K71&lt;2,20,IF(K71&lt;5,10,0))+IF(M71="None",0,18)+IF(G71="Strategic",12,IF(G71="Premium",8,4))</f>
        <v/>
      </c>
      <c r="P71" s="2">
        <f>IF(O71&gt;=75,"Escalate today",IF(O71&gt;=55,"Intervene in 72 hours",IF(O71&gt;=35,"Monitor daily","On track")))</f>
        <v/>
      </c>
    </row>
    <row r="72">
      <c r="A72" s="2" t="inlineStr">
        <is>
          <t>NGX-2026-0071</t>
        </is>
      </c>
      <c r="B72" s="2" t="inlineStr">
        <is>
          <t>Raw Sugar</t>
        </is>
      </c>
      <c r="C72" s="2" t="inlineStr">
        <is>
          <t>Gulf Export</t>
        </is>
      </c>
      <c r="D72" s="2" t="inlineStr">
        <is>
          <t>Fresno CA</t>
        </is>
      </c>
      <c r="E72" s="2" t="inlineStr">
        <is>
          <t>Lakeside Protein Co.</t>
        </is>
      </c>
      <c r="F72" s="2" t="inlineStr">
        <is>
          <t>Crescent Bakery Group</t>
        </is>
      </c>
      <c r="G72" s="2" t="inlineStr">
        <is>
          <t>Premium</t>
        </is>
      </c>
      <c r="H72" s="2" t="inlineStr">
        <is>
          <t>2026-09-08</t>
        </is>
      </c>
      <c r="I72" s="2" t="n">
        <v>1241</v>
      </c>
      <c r="J72" s="2" t="n">
        <v>546040</v>
      </c>
      <c r="K72" s="2" t="n">
        <v>3</v>
      </c>
      <c r="L72" s="2" t="inlineStr">
        <is>
          <t>Critical</t>
        </is>
      </c>
      <c r="M72" s="2" t="inlineStr">
        <is>
          <t>None</t>
        </is>
      </c>
      <c r="N72" s="2" t="inlineStr">
        <is>
          <t>Evan Brooks</t>
        </is>
      </c>
      <c r="O72" s="2">
        <f>IF(L72="Critical",45,IF(L72="High",32,IF(L72="Moderate",18,8)))+IF(K72&lt;2,20,IF(K72&lt;5,10,0))+IF(M72="None",0,18)+IF(G72="Strategic",12,IF(G72="Premium",8,4))</f>
        <v/>
      </c>
      <c r="P72" s="2">
        <f>IF(O72&gt;=75,"Escalate today",IF(O72&gt;=55,"Intervene in 72 hours",IF(O72&gt;=35,"Monitor daily","On track")))</f>
        <v/>
      </c>
    </row>
    <row r="73">
      <c r="A73" s="2" t="inlineStr">
        <is>
          <t>NGX-2026-0072</t>
        </is>
      </c>
      <c r="B73" s="2" t="inlineStr">
        <is>
          <t>Soft Red Winter Wheat</t>
        </is>
      </c>
      <c r="C73" s="2" t="inlineStr">
        <is>
          <t>Pacific Northwest Rail</t>
        </is>
      </c>
      <c r="D73" s="2" t="inlineStr">
        <is>
          <t>Toledo OH</t>
        </is>
      </c>
      <c r="E73" s="2" t="inlineStr">
        <is>
          <t>Tacoma Export Pier</t>
        </is>
      </c>
      <c r="F73" s="2" t="inlineStr">
        <is>
          <t>Harborview Milling</t>
        </is>
      </c>
      <c r="G73" s="2" t="inlineStr">
        <is>
          <t>Premium</t>
        </is>
      </c>
      <c r="H73" s="2" t="inlineStr">
        <is>
          <t>2026-09-18</t>
        </is>
      </c>
      <c r="I73" s="2" t="n">
        <v>3567</v>
      </c>
      <c r="J73" s="2" t="n">
        <v>2282880</v>
      </c>
      <c r="K73" s="2" t="n">
        <v>0</v>
      </c>
      <c r="L73" s="2" t="inlineStr">
        <is>
          <t>Moderate</t>
        </is>
      </c>
      <c r="M73" s="2" t="inlineStr">
        <is>
          <t>Supplier attestation late</t>
        </is>
      </c>
      <c r="N73" s="2" t="inlineStr">
        <is>
          <t>Lena Ortiz</t>
        </is>
      </c>
      <c r="O73" s="2">
        <f>IF(L73="Critical",45,IF(L73="High",32,IF(L73="Moderate",18,8)))+IF(K73&lt;2,20,IF(K73&lt;5,10,0))+IF(M73="None",0,18)+IF(G73="Strategic",12,IF(G73="Premium",8,4))</f>
        <v/>
      </c>
      <c r="P73" s="2">
        <f>IF(O73&gt;=75,"Escalate today",IF(O73&gt;=55,"Intervene in 72 hours",IF(O73&gt;=35,"Monitor daily","On track")))</f>
        <v/>
      </c>
    </row>
    <row r="74">
      <c r="A74" s="2" t="inlineStr">
        <is>
          <t>NGX-2026-0073</t>
        </is>
      </c>
      <c r="B74" s="2" t="inlineStr">
        <is>
          <t>Cottonseed Meal</t>
        </is>
      </c>
      <c r="C74" s="2" t="inlineStr">
        <is>
          <t>Lower Mississippi Barge</t>
        </is>
      </c>
      <c r="D74" s="2" t="inlineStr">
        <is>
          <t>Omaha NE</t>
        </is>
      </c>
      <c r="E74" s="2" t="inlineStr">
        <is>
          <t>Beacon Ingredients</t>
        </is>
      </c>
      <c r="F74" s="2" t="inlineStr">
        <is>
          <t>Southport Trading House</t>
        </is>
      </c>
      <c r="G74" s="2" t="inlineStr">
        <is>
          <t>Standard</t>
        </is>
      </c>
      <c r="H74" s="2" t="inlineStr">
        <is>
          <t>2026-09-10</t>
        </is>
      </c>
      <c r="I74" s="2" t="n">
        <v>3315</v>
      </c>
      <c r="J74" s="2" t="n">
        <v>1286220</v>
      </c>
      <c r="K74" s="2" t="n">
        <v>5</v>
      </c>
      <c r="L74" s="2" t="inlineStr">
        <is>
          <t>High</t>
        </is>
      </c>
      <c r="M74" s="2" t="inlineStr">
        <is>
          <t>Supplier attestation late</t>
        </is>
      </c>
      <c r="N74" s="2" t="inlineStr">
        <is>
          <t>Priya Raman</t>
        </is>
      </c>
      <c r="O74" s="2">
        <f>IF(L74="Critical",45,IF(L74="High",32,IF(L74="Moderate",18,8)))+IF(K74&lt;2,20,IF(K74&lt;5,10,0))+IF(M74="None",0,18)+IF(G74="Strategic",12,IF(G74="Premium",8,4))</f>
        <v/>
      </c>
      <c r="P74" s="2">
        <f>IF(O74&gt;=75,"Escalate today",IF(O74&gt;=55,"Intervene in 72 hours",IF(O74&gt;=35,"Monitor daily","On track")))</f>
        <v/>
      </c>
    </row>
    <row r="75">
      <c r="A75" s="2" t="inlineStr">
        <is>
          <t>NGX-2026-0074</t>
        </is>
      </c>
      <c r="B75" s="2" t="inlineStr">
        <is>
          <t>Corn</t>
        </is>
      </c>
      <c r="C75" s="2" t="inlineStr">
        <is>
          <t>Gulf Export</t>
        </is>
      </c>
      <c r="D75" s="2" t="inlineStr">
        <is>
          <t>Memphis TN</t>
        </is>
      </c>
      <c r="E75" s="2" t="inlineStr">
        <is>
          <t>Bluewater Foods</t>
        </is>
      </c>
      <c r="F75" s="2" t="inlineStr">
        <is>
          <t>Bluewater Foods</t>
        </is>
      </c>
      <c r="G75" s="2" t="inlineStr">
        <is>
          <t>Premium</t>
        </is>
      </c>
      <c r="H75" s="2" t="inlineStr">
        <is>
          <t>2026-09-12</t>
        </is>
      </c>
      <c r="I75" s="2" t="n">
        <v>3970</v>
      </c>
      <c r="J75" s="2" t="n">
        <v>2389940</v>
      </c>
      <c r="K75" s="2" t="n">
        <v>6</v>
      </c>
      <c r="L75" s="2" t="inlineStr">
        <is>
          <t>Moderate</t>
        </is>
      </c>
      <c r="M75" s="2" t="inlineStr">
        <is>
          <t>Mass balance variance</t>
        </is>
      </c>
      <c r="N75" s="2" t="inlineStr">
        <is>
          <t>Evan Brooks</t>
        </is>
      </c>
      <c r="O75" s="2">
        <f>IF(L75="Critical",45,IF(L75="High",32,IF(L75="Moderate",18,8)))+IF(K75&lt;2,20,IF(K75&lt;5,10,0))+IF(M75="None",0,18)+IF(G75="Strategic",12,IF(G75="Premium",8,4))</f>
        <v/>
      </c>
      <c r="P75" s="2">
        <f>IF(O75&gt;=75,"Escalate today",IF(O75&gt;=55,"Intervene in 72 hours",IF(O75&gt;=35,"Monitor daily","On track")))</f>
        <v/>
      </c>
    </row>
    <row r="76">
      <c r="A76" s="2" t="inlineStr">
        <is>
          <t>NGX-2026-0075</t>
        </is>
      </c>
      <c r="B76" s="2" t="inlineStr">
        <is>
          <t>Cottonseed Meal</t>
        </is>
      </c>
      <c r="C76" s="2" t="inlineStr">
        <is>
          <t>Gulf Export</t>
        </is>
      </c>
      <c r="D76" s="2" t="inlineStr">
        <is>
          <t>Fresno CA</t>
        </is>
      </c>
      <c r="E76" s="2" t="inlineStr">
        <is>
          <t>New Orleans Terminal</t>
        </is>
      </c>
      <c r="F76" s="2" t="inlineStr">
        <is>
          <t>Harborview Milling</t>
        </is>
      </c>
      <c r="G76" s="2" t="inlineStr">
        <is>
          <t>Premium</t>
        </is>
      </c>
      <c r="H76" s="2" t="inlineStr">
        <is>
          <t>2026-09-20</t>
        </is>
      </c>
      <c r="I76" s="2" t="n">
        <v>4812</v>
      </c>
      <c r="J76" s="2" t="n">
        <v>1900740</v>
      </c>
      <c r="K76" s="2" t="n">
        <v>1</v>
      </c>
      <c r="L76" s="2" t="inlineStr">
        <is>
          <t>Moderate</t>
        </is>
      </c>
      <c r="M76" s="2" t="inlineStr">
        <is>
          <t>Chain-of-custody gap</t>
        </is>
      </c>
      <c r="N76" s="2" t="inlineStr">
        <is>
          <t>Evan Brooks</t>
        </is>
      </c>
      <c r="O76" s="2">
        <f>IF(L76="Critical",45,IF(L76="High",32,IF(L76="Moderate",18,8)))+IF(K76&lt;2,20,IF(K76&lt;5,10,0))+IF(M76="None",0,18)+IF(G76="Strategic",12,IF(G76="Premium",8,4))</f>
        <v/>
      </c>
      <c r="P76" s="2">
        <f>IF(O76&gt;=75,"Escalate today",IF(O76&gt;=55,"Intervene in 72 hours",IF(O76&gt;=35,"Monitor daily","On track")))</f>
        <v/>
      </c>
    </row>
    <row r="77">
      <c r="A77" s="2" t="inlineStr">
        <is>
          <t>NGX-2026-0076</t>
        </is>
      </c>
      <c r="B77" s="2" t="inlineStr">
        <is>
          <t>Cottonseed Meal</t>
        </is>
      </c>
      <c r="C77" s="2" t="inlineStr">
        <is>
          <t>Interior Elevator Transfer</t>
        </is>
      </c>
      <c r="D77" s="2" t="inlineStr">
        <is>
          <t>Toledo OH</t>
        </is>
      </c>
      <c r="E77" s="2" t="inlineStr">
        <is>
          <t>Bluewater Foods</t>
        </is>
      </c>
      <c r="F77" s="2" t="inlineStr">
        <is>
          <t>Evergreen Nutrition</t>
        </is>
      </c>
      <c r="G77" s="2" t="inlineStr">
        <is>
          <t>Standard</t>
        </is>
      </c>
      <c r="H77" s="2" t="inlineStr">
        <is>
          <t>2026-09-08</t>
        </is>
      </c>
      <c r="I77" s="2" t="n">
        <v>3014</v>
      </c>
      <c r="J77" s="2" t="n">
        <v>964480</v>
      </c>
      <c r="K77" s="2" t="n">
        <v>6</v>
      </c>
      <c r="L77" s="2" t="inlineStr">
        <is>
          <t>Low</t>
        </is>
      </c>
      <c r="M77" s="2" t="inlineStr">
        <is>
          <t>Mass balance variance</t>
        </is>
      </c>
      <c r="N77" s="2" t="inlineStr">
        <is>
          <t>Lena Ortiz</t>
        </is>
      </c>
      <c r="O77" s="2">
        <f>IF(L77="Critical",45,IF(L77="High",32,IF(L77="Moderate",18,8)))+IF(K77&lt;2,20,IF(K77&lt;5,10,0))+IF(M77="None",0,18)+IF(G77="Strategic",12,IF(G77="Premium",8,4))</f>
        <v/>
      </c>
      <c r="P77" s="2">
        <f>IF(O77&gt;=75,"Escalate today",IF(O77&gt;=55,"Intervene in 72 hours",IF(O77&gt;=35,"Monitor daily","On track")))</f>
        <v/>
      </c>
    </row>
    <row r="78">
      <c r="A78" s="2" t="inlineStr">
        <is>
          <t>NGX-2026-0077</t>
        </is>
      </c>
      <c r="B78" s="2" t="inlineStr">
        <is>
          <t>Canola</t>
        </is>
      </c>
      <c r="C78" s="2" t="inlineStr">
        <is>
          <t>Interior Elevator Transfer</t>
        </is>
      </c>
      <c r="D78" s="2" t="inlineStr">
        <is>
          <t>Memphis TN</t>
        </is>
      </c>
      <c r="E78" s="2" t="inlineStr">
        <is>
          <t>Bluewater Foods</t>
        </is>
      </c>
      <c r="F78" s="2" t="inlineStr">
        <is>
          <t>Bluewater Foods</t>
        </is>
      </c>
      <c r="G78" s="2" t="inlineStr">
        <is>
          <t>Strategic</t>
        </is>
      </c>
      <c r="H78" s="2" t="inlineStr">
        <is>
          <t>2026-09-12</t>
        </is>
      </c>
      <c r="I78" s="2" t="n">
        <v>2088</v>
      </c>
      <c r="J78" s="2" t="n">
        <v>1087848</v>
      </c>
      <c r="K78" s="2" t="n">
        <v>8</v>
      </c>
      <c r="L78" s="2" t="inlineStr">
        <is>
          <t>Moderate</t>
        </is>
      </c>
      <c r="M78" s="2" t="inlineStr">
        <is>
          <t>Chain-of-custody gap</t>
        </is>
      </c>
      <c r="N78" s="2" t="inlineStr">
        <is>
          <t>Noah Whitaker</t>
        </is>
      </c>
      <c r="O78" s="2">
        <f>IF(L78="Critical",45,IF(L78="High",32,IF(L78="Moderate",18,8)))+IF(K78&lt;2,20,IF(K78&lt;5,10,0))+IF(M78="None",0,18)+IF(G78="Strategic",12,IF(G78="Premium",8,4))</f>
        <v/>
      </c>
      <c r="P78" s="2">
        <f>IF(O78&gt;=75,"Escalate today",IF(O78&gt;=55,"Intervene in 72 hours",IF(O78&gt;=35,"Monitor daily","On track")))</f>
        <v/>
      </c>
    </row>
    <row r="79">
      <c r="A79" s="2" t="inlineStr">
        <is>
          <t>NGX-2026-0078</t>
        </is>
      </c>
      <c r="B79" s="2" t="inlineStr">
        <is>
          <t>Raw Sugar</t>
        </is>
      </c>
      <c r="C79" s="2" t="inlineStr">
        <is>
          <t>Gulf Export</t>
        </is>
      </c>
      <c r="D79" s="2" t="inlineStr">
        <is>
          <t>Portland OR</t>
        </is>
      </c>
      <c r="E79" s="2" t="inlineStr">
        <is>
          <t>Lakeside Protein Co.</t>
        </is>
      </c>
      <c r="F79" s="2" t="inlineStr">
        <is>
          <t>Pioneer Feed Cooperative</t>
        </is>
      </c>
      <c r="G79" s="2" t="inlineStr">
        <is>
          <t>Standard</t>
        </is>
      </c>
      <c r="H79" s="2" t="inlineStr">
        <is>
          <t>2026-09-21</t>
        </is>
      </c>
      <c r="I79" s="2" t="n">
        <v>2567</v>
      </c>
      <c r="J79" s="2" t="n">
        <v>1034501</v>
      </c>
      <c r="K79" s="2" t="n">
        <v>8</v>
      </c>
      <c r="L79" s="2" t="inlineStr">
        <is>
          <t>Moderate</t>
        </is>
      </c>
      <c r="M79" s="2" t="inlineStr">
        <is>
          <t>None</t>
        </is>
      </c>
      <c r="N79" s="2" t="inlineStr">
        <is>
          <t>Priya Raman</t>
        </is>
      </c>
      <c r="O79" s="2">
        <f>IF(L79="Critical",45,IF(L79="High",32,IF(L79="Moderate",18,8)))+IF(K79&lt;2,20,IF(K79&lt;5,10,0))+IF(M79="None",0,18)+IF(G79="Strategic",12,IF(G79="Premium",8,4))</f>
        <v/>
      </c>
      <c r="P79" s="2">
        <f>IF(O79&gt;=75,"Escalate today",IF(O79&gt;=55,"Intervene in 72 hours",IF(O79&gt;=35,"Monitor daily","On track")))</f>
        <v/>
      </c>
    </row>
    <row r="80">
      <c r="A80" s="2" t="inlineStr">
        <is>
          <t>NGX-2026-0079</t>
        </is>
      </c>
      <c r="B80" s="2" t="inlineStr">
        <is>
          <t>Soybean Meal</t>
        </is>
      </c>
      <c r="C80" s="2" t="inlineStr">
        <is>
          <t>Upper Midwest Feed</t>
        </is>
      </c>
      <c r="D80" s="2" t="inlineStr">
        <is>
          <t>St. Louis MO</t>
        </is>
      </c>
      <c r="E80" s="2" t="inlineStr">
        <is>
          <t>Harborview Milling</t>
        </is>
      </c>
      <c r="F80" s="2" t="inlineStr">
        <is>
          <t>Beacon Ingredients</t>
        </is>
      </c>
      <c r="G80" s="2" t="inlineStr">
        <is>
          <t>Premium</t>
        </is>
      </c>
      <c r="H80" s="2" t="inlineStr">
        <is>
          <t>2026-09-18</t>
        </is>
      </c>
      <c r="I80" s="2" t="n">
        <v>4575</v>
      </c>
      <c r="J80" s="2" t="n">
        <v>1349625</v>
      </c>
      <c r="K80" s="2" t="n">
        <v>11</v>
      </c>
      <c r="L80" s="2" t="inlineStr">
        <is>
          <t>Moderate</t>
        </is>
      </c>
      <c r="M80" s="2" t="inlineStr">
        <is>
          <t>Supplier attestation late</t>
        </is>
      </c>
      <c r="N80" s="2" t="inlineStr">
        <is>
          <t>Evan Brooks</t>
        </is>
      </c>
      <c r="O80" s="2">
        <f>IF(L80="Critical",45,IF(L80="High",32,IF(L80="Moderate",18,8)))+IF(K80&lt;2,20,IF(K80&lt;5,10,0))+IF(M80="None",0,18)+IF(G80="Strategic",12,IF(G80="Premium",8,4))</f>
        <v/>
      </c>
      <c r="P80" s="2">
        <f>IF(O80&gt;=75,"Escalate today",IF(O80&gt;=55,"Intervene in 72 hours",IF(O80&gt;=35,"Monitor daily","On track")))</f>
        <v/>
      </c>
    </row>
    <row r="81">
      <c r="A81" s="2" t="inlineStr">
        <is>
          <t>NGX-2026-0080</t>
        </is>
      </c>
      <c r="B81" s="2" t="inlineStr">
        <is>
          <t>Raw Sugar</t>
        </is>
      </c>
      <c r="C81" s="2" t="inlineStr">
        <is>
          <t>Lower Mississippi Barge</t>
        </is>
      </c>
      <c r="D81" s="2" t="inlineStr">
        <is>
          <t>Toledo OH</t>
        </is>
      </c>
      <c r="E81" s="2" t="inlineStr">
        <is>
          <t>Crescent Bakery Group</t>
        </is>
      </c>
      <c r="F81" s="2" t="inlineStr">
        <is>
          <t>Pioneer Feed Cooperative</t>
        </is>
      </c>
      <c r="G81" s="2" t="inlineStr">
        <is>
          <t>Strategic</t>
        </is>
      </c>
      <c r="H81" s="2" t="inlineStr">
        <is>
          <t>2026-09-17</t>
        </is>
      </c>
      <c r="I81" s="2" t="n">
        <v>1010</v>
      </c>
      <c r="J81" s="2" t="n">
        <v>385820</v>
      </c>
      <c r="K81" s="2" t="n">
        <v>3</v>
      </c>
      <c r="L81" s="2" t="inlineStr">
        <is>
          <t>High</t>
        </is>
      </c>
      <c r="M81" s="2" t="inlineStr">
        <is>
          <t>Document review</t>
        </is>
      </c>
      <c r="N81" s="2" t="inlineStr">
        <is>
          <t>Lena Ortiz</t>
        </is>
      </c>
      <c r="O81" s="2">
        <f>IF(L81="Critical",45,IF(L81="High",32,IF(L81="Moderate",18,8)))+IF(K81&lt;2,20,IF(K81&lt;5,10,0))+IF(M81="None",0,18)+IF(G81="Strategic",12,IF(G81="Premium",8,4))</f>
        <v/>
      </c>
      <c r="P81" s="2">
        <f>IF(O81&gt;=75,"Escalate today",IF(O81&gt;=55,"Intervene in 72 hours",IF(O81&gt;=35,"Monitor daily","On track")))</f>
        <v/>
      </c>
    </row>
    <row r="82">
      <c r="A82" s="2" t="inlineStr">
        <is>
          <t>NGX-2026-0081</t>
        </is>
      </c>
      <c r="B82" s="2" t="inlineStr">
        <is>
          <t>Coffee Beans</t>
        </is>
      </c>
      <c r="C82" s="2" t="inlineStr">
        <is>
          <t>Interior Elevator Transfer</t>
        </is>
      </c>
      <c r="D82" s="2" t="inlineStr">
        <is>
          <t>St. Louis MO</t>
        </is>
      </c>
      <c r="E82" s="2" t="inlineStr">
        <is>
          <t>Harborview Milling</t>
        </is>
      </c>
      <c r="F82" s="2" t="inlineStr">
        <is>
          <t>Beacon Ingredients</t>
        </is>
      </c>
      <c r="G82" s="2" t="inlineStr">
        <is>
          <t>Strategic</t>
        </is>
      </c>
      <c r="H82" s="2" t="inlineStr">
        <is>
          <t>2026-09-18</t>
        </is>
      </c>
      <c r="I82" s="2" t="n">
        <v>3165</v>
      </c>
      <c r="J82" s="2" t="n">
        <v>2041425</v>
      </c>
      <c r="K82" s="2" t="n">
        <v>6</v>
      </c>
      <c r="L82" s="2" t="inlineStr">
        <is>
          <t>Low</t>
        </is>
      </c>
      <c r="M82" s="2" t="inlineStr">
        <is>
          <t>Mass balance variance</t>
        </is>
      </c>
      <c r="N82" s="2" t="inlineStr">
        <is>
          <t>Evan Brooks</t>
        </is>
      </c>
      <c r="O82" s="2">
        <f>IF(L82="Critical",45,IF(L82="High",32,IF(L82="Moderate",18,8)))+IF(K82&lt;2,20,IF(K82&lt;5,10,0))+IF(M82="None",0,18)+IF(G82="Strategic",12,IF(G82="Premium",8,4))</f>
        <v/>
      </c>
      <c r="P82" s="2">
        <f>IF(O82&gt;=75,"Escalate today",IF(O82&gt;=55,"Intervene in 72 hours",IF(O82&gt;=35,"Monitor daily","On track")))</f>
        <v/>
      </c>
    </row>
    <row r="83">
      <c r="A83" s="2" t="inlineStr">
        <is>
          <t>NGX-2026-0082</t>
        </is>
      </c>
      <c r="B83" s="2" t="inlineStr">
        <is>
          <t>Coffee Beans</t>
        </is>
      </c>
      <c r="C83" s="2" t="inlineStr">
        <is>
          <t>Interior Elevator Transfer</t>
        </is>
      </c>
      <c r="D83" s="2" t="inlineStr">
        <is>
          <t>St. Louis MO</t>
        </is>
      </c>
      <c r="E83" s="2" t="inlineStr">
        <is>
          <t>Crescent Bakery Group</t>
        </is>
      </c>
      <c r="F83" s="2" t="inlineStr">
        <is>
          <t>Bluewater Foods</t>
        </is>
      </c>
      <c r="G83" s="2" t="inlineStr">
        <is>
          <t>Standard</t>
        </is>
      </c>
      <c r="H83" s="2" t="inlineStr">
        <is>
          <t>2026-09-11</t>
        </is>
      </c>
      <c r="I83" s="2" t="n">
        <v>1211</v>
      </c>
      <c r="J83" s="2" t="n">
        <v>629720</v>
      </c>
      <c r="K83" s="2" t="n">
        <v>9</v>
      </c>
      <c r="L83" s="2" t="inlineStr">
        <is>
          <t>Low</t>
        </is>
      </c>
      <c r="M83" s="2" t="inlineStr">
        <is>
          <t>None</t>
        </is>
      </c>
      <c r="N83" s="2" t="inlineStr">
        <is>
          <t>Noah Whitaker</t>
        </is>
      </c>
      <c r="O83" s="2">
        <f>IF(L83="Critical",45,IF(L83="High",32,IF(L83="Moderate",18,8)))+IF(K83&lt;2,20,IF(K83&lt;5,10,0))+IF(M83="None",0,18)+IF(G83="Strategic",12,IF(G83="Premium",8,4))</f>
        <v/>
      </c>
      <c r="P83" s="2">
        <f>IF(O83&gt;=75,"Escalate today",IF(O83&gt;=55,"Intervene in 72 hours",IF(O83&gt;=35,"Monitor daily","On track")))</f>
        <v/>
      </c>
    </row>
    <row r="84">
      <c r="A84" s="2" t="inlineStr">
        <is>
          <t>NGX-2026-0083</t>
        </is>
      </c>
      <c r="B84" s="2" t="inlineStr">
        <is>
          <t>Soybean Meal</t>
        </is>
      </c>
      <c r="C84" s="2" t="inlineStr">
        <is>
          <t>Lower Mississippi Barge</t>
        </is>
      </c>
      <c r="D84" s="2" t="inlineStr">
        <is>
          <t>Davenport IA</t>
        </is>
      </c>
      <c r="E84" s="2" t="inlineStr">
        <is>
          <t>Tacoma Export Pier</t>
        </is>
      </c>
      <c r="F84" s="2" t="inlineStr">
        <is>
          <t>Beacon Ingredients</t>
        </is>
      </c>
      <c r="G84" s="2" t="inlineStr">
        <is>
          <t>Premium</t>
        </is>
      </c>
      <c r="H84" s="2" t="inlineStr">
        <is>
          <t>2026-09-17</t>
        </is>
      </c>
      <c r="I84" s="2" t="n">
        <v>4733</v>
      </c>
      <c r="J84" s="2" t="n">
        <v>1344172</v>
      </c>
      <c r="K84" s="2" t="n">
        <v>8</v>
      </c>
      <c r="L84" s="2" t="inlineStr">
        <is>
          <t>Moderate</t>
        </is>
      </c>
      <c r="M84" s="2" t="inlineStr">
        <is>
          <t>Supplier attestation late</t>
        </is>
      </c>
      <c r="N84" s="2" t="inlineStr">
        <is>
          <t>Priya Raman</t>
        </is>
      </c>
      <c r="O84" s="2">
        <f>IF(L84="Critical",45,IF(L84="High",32,IF(L84="Moderate",18,8)))+IF(K84&lt;2,20,IF(K84&lt;5,10,0))+IF(M84="None",0,18)+IF(G84="Strategic",12,IF(G84="Premium",8,4))</f>
        <v/>
      </c>
      <c r="P84" s="2">
        <f>IF(O84&gt;=75,"Escalate today",IF(O84&gt;=55,"Intervene in 72 hours",IF(O84&gt;=35,"Monitor daily","On track")))</f>
        <v/>
      </c>
    </row>
    <row r="85">
      <c r="A85" s="2" t="inlineStr">
        <is>
          <t>NGX-2026-0084</t>
        </is>
      </c>
      <c r="B85" s="2" t="inlineStr">
        <is>
          <t>Raw Sugar</t>
        </is>
      </c>
      <c r="C85" s="2" t="inlineStr">
        <is>
          <t>Lower Mississippi Barge</t>
        </is>
      </c>
      <c r="D85" s="2" t="inlineStr">
        <is>
          <t>Memphis TN</t>
        </is>
      </c>
      <c r="E85" s="2" t="inlineStr">
        <is>
          <t>Beacon Ingredients</t>
        </is>
      </c>
      <c r="F85" s="2" t="inlineStr">
        <is>
          <t>Southport Trading House</t>
        </is>
      </c>
      <c r="G85" s="2" t="inlineStr">
        <is>
          <t>Standard</t>
        </is>
      </c>
      <c r="H85" s="2" t="inlineStr">
        <is>
          <t>2026-09-11</t>
        </is>
      </c>
      <c r="I85" s="2" t="n">
        <v>552</v>
      </c>
      <c r="J85" s="2" t="n">
        <v>359904</v>
      </c>
      <c r="K85" s="2" t="n">
        <v>4</v>
      </c>
      <c r="L85" s="2" t="inlineStr">
        <is>
          <t>Low</t>
        </is>
      </c>
      <c r="M85" s="2" t="inlineStr">
        <is>
          <t>Document review</t>
        </is>
      </c>
      <c r="N85" s="2" t="inlineStr">
        <is>
          <t>Priya Raman</t>
        </is>
      </c>
      <c r="O85" s="2">
        <f>IF(L85="Critical",45,IF(L85="High",32,IF(L85="Moderate",18,8)))+IF(K85&lt;2,20,IF(K85&lt;5,10,0))+IF(M85="None",0,18)+IF(G85="Strategic",12,IF(G85="Premium",8,4))</f>
        <v/>
      </c>
      <c r="P85" s="2">
        <f>IF(O85&gt;=75,"Escalate today",IF(O85&gt;=55,"Intervene in 72 hours",IF(O85&gt;=35,"Monitor daily","On track")))</f>
        <v/>
      </c>
    </row>
    <row r="86">
      <c r="A86" s="2" t="inlineStr">
        <is>
          <t>NGX-2026-0085</t>
        </is>
      </c>
      <c r="B86" s="2" t="inlineStr">
        <is>
          <t>Raw Sugar</t>
        </is>
      </c>
      <c r="C86" s="2" t="inlineStr">
        <is>
          <t>Gulf Export</t>
        </is>
      </c>
      <c r="D86" s="2" t="inlineStr">
        <is>
          <t>Omaha NE</t>
        </is>
      </c>
      <c r="E86" s="2" t="inlineStr">
        <is>
          <t>Bluewater Foods</t>
        </is>
      </c>
      <c r="F86" s="2" t="inlineStr">
        <is>
          <t>Lakeside Protein Co.</t>
        </is>
      </c>
      <c r="G86" s="2" t="inlineStr">
        <is>
          <t>Standard</t>
        </is>
      </c>
      <c r="H86" s="2" t="inlineStr">
        <is>
          <t>2026-09-08</t>
        </is>
      </c>
      <c r="I86" s="2" t="n">
        <v>2854</v>
      </c>
      <c r="J86" s="2" t="n">
        <v>1840830</v>
      </c>
      <c r="K86" s="2" t="n">
        <v>5</v>
      </c>
      <c r="L86" s="2" t="inlineStr">
        <is>
          <t>Critical</t>
        </is>
      </c>
      <c r="M86" s="2" t="inlineStr">
        <is>
          <t>Supplier attestation late</t>
        </is>
      </c>
      <c r="N86" s="2" t="inlineStr">
        <is>
          <t>Lena Ortiz</t>
        </is>
      </c>
      <c r="O86" s="2">
        <f>IF(L86="Critical",45,IF(L86="High",32,IF(L86="Moderate",18,8)))+IF(K86&lt;2,20,IF(K86&lt;5,10,0))+IF(M86="None",0,18)+IF(G86="Strategic",12,IF(G86="Premium",8,4))</f>
        <v/>
      </c>
      <c r="P86" s="2">
        <f>IF(O86&gt;=75,"Escalate today",IF(O86&gt;=55,"Intervene in 72 hours",IF(O86&gt;=35,"Monitor daily","On track")))</f>
        <v/>
      </c>
    </row>
    <row r="87">
      <c r="A87" s="2" t="inlineStr">
        <is>
          <t>NGX-2026-0086</t>
        </is>
      </c>
      <c r="B87" s="2" t="inlineStr">
        <is>
          <t>Coffee Beans</t>
        </is>
      </c>
      <c r="C87" s="2" t="inlineStr">
        <is>
          <t>Gulf Export</t>
        </is>
      </c>
      <c r="D87" s="2" t="inlineStr">
        <is>
          <t>Davenport IA</t>
        </is>
      </c>
      <c r="E87" s="2" t="inlineStr">
        <is>
          <t>Crescent Bakery Group</t>
        </is>
      </c>
      <c r="F87" s="2" t="inlineStr">
        <is>
          <t>Bluewater Foods</t>
        </is>
      </c>
      <c r="G87" s="2" t="inlineStr">
        <is>
          <t>Strategic</t>
        </is>
      </c>
      <c r="H87" s="2" t="inlineStr">
        <is>
          <t>2026-09-14</t>
        </is>
      </c>
      <c r="I87" s="2" t="n">
        <v>640</v>
      </c>
      <c r="J87" s="2" t="n">
        <v>216320</v>
      </c>
      <c r="K87" s="2" t="n">
        <v>12</v>
      </c>
      <c r="L87" s="2" t="inlineStr">
        <is>
          <t>High</t>
        </is>
      </c>
      <c r="M87" s="2" t="inlineStr">
        <is>
          <t>Document review</t>
        </is>
      </c>
      <c r="N87" s="2" t="inlineStr">
        <is>
          <t>Lena Ortiz</t>
        </is>
      </c>
      <c r="O87" s="2">
        <f>IF(L87="Critical",45,IF(L87="High",32,IF(L87="Moderate",18,8)))+IF(K87&lt;2,20,IF(K87&lt;5,10,0))+IF(M87="None",0,18)+IF(G87="Strategic",12,IF(G87="Premium",8,4))</f>
        <v/>
      </c>
      <c r="P87" s="2">
        <f>IF(O87&gt;=75,"Escalate today",IF(O87&gt;=55,"Intervene in 72 hours",IF(O87&gt;=35,"Monitor daily","On track")))</f>
        <v/>
      </c>
    </row>
    <row r="88">
      <c r="A88" s="2" t="inlineStr">
        <is>
          <t>NGX-2026-0087</t>
        </is>
      </c>
      <c r="B88" s="2" t="inlineStr">
        <is>
          <t>Coffee Beans</t>
        </is>
      </c>
      <c r="C88" s="2" t="inlineStr">
        <is>
          <t>Gulf Export</t>
        </is>
      </c>
      <c r="D88" s="2" t="inlineStr">
        <is>
          <t>Savannah GA</t>
        </is>
      </c>
      <c r="E88" s="2" t="inlineStr">
        <is>
          <t>Beacon Ingredients</t>
        </is>
      </c>
      <c r="F88" s="2" t="inlineStr">
        <is>
          <t>Harborview Milling</t>
        </is>
      </c>
      <c r="G88" s="2" t="inlineStr">
        <is>
          <t>Premium</t>
        </is>
      </c>
      <c r="H88" s="2" t="inlineStr">
        <is>
          <t>2026-09-20</t>
        </is>
      </c>
      <c r="I88" s="2" t="n">
        <v>2181</v>
      </c>
      <c r="J88" s="2" t="n">
        <v>724092</v>
      </c>
      <c r="K88" s="2" t="n">
        <v>9</v>
      </c>
      <c r="L88" s="2" t="inlineStr">
        <is>
          <t>Critical</t>
        </is>
      </c>
      <c r="M88" s="2" t="inlineStr">
        <is>
          <t>Chain-of-custody gap</t>
        </is>
      </c>
      <c r="N88" s="2" t="inlineStr">
        <is>
          <t>Maya Chen</t>
        </is>
      </c>
      <c r="O88" s="2">
        <f>IF(L88="Critical",45,IF(L88="High",32,IF(L88="Moderate",18,8)))+IF(K88&lt;2,20,IF(K88&lt;5,10,0))+IF(M88="None",0,18)+IF(G88="Strategic",12,IF(G88="Premium",8,4))</f>
        <v/>
      </c>
      <c r="P88" s="2">
        <f>IF(O88&gt;=75,"Escalate today",IF(O88&gt;=55,"Intervene in 72 hours",IF(O88&gt;=35,"Monitor daily","On track")))</f>
        <v/>
      </c>
    </row>
    <row r="89">
      <c r="A89" s="2" t="inlineStr">
        <is>
          <t>NGX-2026-0088</t>
        </is>
      </c>
      <c r="B89" s="2" t="inlineStr">
        <is>
          <t>Rice</t>
        </is>
      </c>
      <c r="C89" s="2" t="inlineStr">
        <is>
          <t>Pacific Northwest Rail</t>
        </is>
      </c>
      <c r="D89" s="2" t="inlineStr">
        <is>
          <t>Fresno CA</t>
        </is>
      </c>
      <c r="E89" s="2" t="inlineStr">
        <is>
          <t>New Orleans Terminal</t>
        </is>
      </c>
      <c r="F89" s="2" t="inlineStr">
        <is>
          <t>Harborview Milling</t>
        </is>
      </c>
      <c r="G89" s="2" t="inlineStr">
        <is>
          <t>Premium</t>
        </is>
      </c>
      <c r="H89" s="2" t="inlineStr">
        <is>
          <t>2026-09-17</t>
        </is>
      </c>
      <c r="I89" s="2" t="n">
        <v>3719</v>
      </c>
      <c r="J89" s="2" t="n">
        <v>803304</v>
      </c>
      <c r="K89" s="2" t="n">
        <v>3</v>
      </c>
      <c r="L89" s="2" t="inlineStr">
        <is>
          <t>Low</t>
        </is>
      </c>
      <c r="M89" s="2" t="inlineStr">
        <is>
          <t>Supplier attestation late</t>
        </is>
      </c>
      <c r="N89" s="2" t="inlineStr">
        <is>
          <t>Maya Chen</t>
        </is>
      </c>
      <c r="O89" s="2">
        <f>IF(L89="Critical",45,IF(L89="High",32,IF(L89="Moderate",18,8)))+IF(K89&lt;2,20,IF(K89&lt;5,10,0))+IF(M89="None",0,18)+IF(G89="Strategic",12,IF(G89="Premium",8,4))</f>
        <v/>
      </c>
      <c r="P89" s="2">
        <f>IF(O89&gt;=75,"Escalate today",IF(O89&gt;=55,"Intervene in 72 hours",IF(O89&gt;=35,"Monitor daily","On track")))</f>
        <v/>
      </c>
    </row>
    <row r="90">
      <c r="A90" s="2" t="inlineStr">
        <is>
          <t>NGX-2026-0089</t>
        </is>
      </c>
      <c r="B90" s="2" t="inlineStr">
        <is>
          <t>Rice</t>
        </is>
      </c>
      <c r="C90" s="2" t="inlineStr">
        <is>
          <t>Interior Elevator Transfer</t>
        </is>
      </c>
      <c r="D90" s="2" t="inlineStr">
        <is>
          <t>St. Louis MO</t>
        </is>
      </c>
      <c r="E90" s="2" t="inlineStr">
        <is>
          <t>Bluewater Foods</t>
        </is>
      </c>
      <c r="F90" s="2" t="inlineStr">
        <is>
          <t>Beacon Ingredients</t>
        </is>
      </c>
      <c r="G90" s="2" t="inlineStr">
        <is>
          <t>Strategic</t>
        </is>
      </c>
      <c r="H90" s="2" t="inlineStr">
        <is>
          <t>2026-09-21</t>
        </is>
      </c>
      <c r="I90" s="2" t="n">
        <v>743</v>
      </c>
      <c r="J90" s="2" t="n">
        <v>331378</v>
      </c>
      <c r="K90" s="2" t="n">
        <v>2</v>
      </c>
      <c r="L90" s="2" t="inlineStr">
        <is>
          <t>Moderate</t>
        </is>
      </c>
      <c r="M90" s="2" t="inlineStr">
        <is>
          <t>Mass balance variance</t>
        </is>
      </c>
      <c r="N90" s="2" t="inlineStr">
        <is>
          <t>Priya Raman</t>
        </is>
      </c>
      <c r="O90" s="2">
        <f>IF(L90="Critical",45,IF(L90="High",32,IF(L90="Moderate",18,8)))+IF(K90&lt;2,20,IF(K90&lt;5,10,0))+IF(M90="None",0,18)+IF(G90="Strategic",12,IF(G90="Premium",8,4))</f>
        <v/>
      </c>
      <c r="P90" s="2">
        <f>IF(O90&gt;=75,"Escalate today",IF(O90&gt;=55,"Intervene in 72 hours",IF(O90&gt;=35,"Monitor daily","On track")))</f>
        <v/>
      </c>
    </row>
    <row r="91">
      <c r="A91" s="2" t="inlineStr">
        <is>
          <t>NGX-2026-0090</t>
        </is>
      </c>
      <c r="B91" s="2" t="inlineStr">
        <is>
          <t>Soft Red Winter Wheat</t>
        </is>
      </c>
      <c r="C91" s="2" t="inlineStr">
        <is>
          <t>Upper Midwest Feed</t>
        </is>
      </c>
      <c r="D91" s="2" t="inlineStr">
        <is>
          <t>Omaha NE</t>
        </is>
      </c>
      <c r="E91" s="2" t="inlineStr">
        <is>
          <t>New Orleans Terminal</t>
        </is>
      </c>
      <c r="F91" s="2" t="inlineStr">
        <is>
          <t>Bluewater Foods</t>
        </is>
      </c>
      <c r="G91" s="2" t="inlineStr">
        <is>
          <t>Standard</t>
        </is>
      </c>
      <c r="H91" s="2" t="inlineStr">
        <is>
          <t>2026-09-14</t>
        </is>
      </c>
      <c r="I91" s="2" t="n">
        <v>3299</v>
      </c>
      <c r="J91" s="2" t="n">
        <v>1817749</v>
      </c>
      <c r="K91" s="2" t="n">
        <v>6</v>
      </c>
      <c r="L91" s="2" t="inlineStr">
        <is>
          <t>Critical</t>
        </is>
      </c>
      <c r="M91" s="2" t="inlineStr">
        <is>
          <t>Document review</t>
        </is>
      </c>
      <c r="N91" s="2" t="inlineStr">
        <is>
          <t>Noah Whitaker</t>
        </is>
      </c>
      <c r="O91" s="2">
        <f>IF(L91="Critical",45,IF(L91="High",32,IF(L91="Moderate",18,8)))+IF(K91&lt;2,20,IF(K91&lt;5,10,0))+IF(M91="None",0,18)+IF(G91="Strategic",12,IF(G91="Premium",8,4))</f>
        <v/>
      </c>
      <c r="P91" s="2">
        <f>IF(O91&gt;=75,"Escalate today",IF(O91&gt;=55,"Intervene in 72 hours",IF(O91&gt;=35,"Monitor daily","On track")))</f>
        <v/>
      </c>
    </row>
    <row r="92">
      <c r="A92" s="2" t="inlineStr">
        <is>
          <t>NGX-2026-0091</t>
        </is>
      </c>
      <c r="B92" s="2" t="inlineStr">
        <is>
          <t>Corn</t>
        </is>
      </c>
      <c r="C92" s="2" t="inlineStr">
        <is>
          <t>Upper Midwest Feed</t>
        </is>
      </c>
      <c r="D92" s="2" t="inlineStr">
        <is>
          <t>Fresno CA</t>
        </is>
      </c>
      <c r="E92" s="2" t="inlineStr">
        <is>
          <t>Cedar Valley Feedworks</t>
        </is>
      </c>
      <c r="F92" s="2" t="inlineStr">
        <is>
          <t>Evergreen Nutrition</t>
        </is>
      </c>
      <c r="G92" s="2" t="inlineStr">
        <is>
          <t>Premium</t>
        </is>
      </c>
      <c r="H92" s="2" t="inlineStr">
        <is>
          <t>2026-09-09</t>
        </is>
      </c>
      <c r="I92" s="2" t="n">
        <v>2133</v>
      </c>
      <c r="J92" s="2" t="n">
        <v>883062</v>
      </c>
      <c r="K92" s="2" t="n">
        <v>12</v>
      </c>
      <c r="L92" s="2" t="inlineStr">
        <is>
          <t>Low</t>
        </is>
      </c>
      <c r="M92" s="2" t="inlineStr">
        <is>
          <t>None</t>
        </is>
      </c>
      <c r="N92" s="2" t="inlineStr">
        <is>
          <t>Evan Brooks</t>
        </is>
      </c>
      <c r="O92" s="2">
        <f>IF(L92="Critical",45,IF(L92="High",32,IF(L92="Moderate",18,8)))+IF(K92&lt;2,20,IF(K92&lt;5,10,0))+IF(M92="None",0,18)+IF(G92="Strategic",12,IF(G92="Premium",8,4))</f>
        <v/>
      </c>
      <c r="P92" s="2">
        <f>IF(O92&gt;=75,"Escalate today",IF(O92&gt;=55,"Intervene in 72 hours",IF(O92&gt;=35,"Monitor daily","On track")))</f>
        <v/>
      </c>
    </row>
    <row r="93">
      <c r="A93" s="2" t="inlineStr">
        <is>
          <t>NGX-2026-0092</t>
        </is>
      </c>
      <c r="B93" s="2" t="inlineStr">
        <is>
          <t>Coffee Beans</t>
        </is>
      </c>
      <c r="C93" s="2" t="inlineStr">
        <is>
          <t>Interior Elevator Transfer</t>
        </is>
      </c>
      <c r="D93" s="2" t="inlineStr">
        <is>
          <t>Fresno CA</t>
        </is>
      </c>
      <c r="E93" s="2" t="inlineStr">
        <is>
          <t>New Orleans Terminal</t>
        </is>
      </c>
      <c r="F93" s="2" t="inlineStr">
        <is>
          <t>Harborview Milling</t>
        </is>
      </c>
      <c r="G93" s="2" t="inlineStr">
        <is>
          <t>Standard</t>
        </is>
      </c>
      <c r="H93" s="2" t="inlineStr">
        <is>
          <t>2026-09-21</t>
        </is>
      </c>
      <c r="I93" s="2" t="n">
        <v>514</v>
      </c>
      <c r="J93" s="2" t="n">
        <v>267794</v>
      </c>
      <c r="K93" s="2" t="n">
        <v>8</v>
      </c>
      <c r="L93" s="2" t="inlineStr">
        <is>
          <t>Moderate</t>
        </is>
      </c>
      <c r="M93" s="2" t="inlineStr">
        <is>
          <t>Supplier attestation late</t>
        </is>
      </c>
      <c r="N93" s="2" t="inlineStr">
        <is>
          <t>Noah Whitaker</t>
        </is>
      </c>
      <c r="O93" s="2">
        <f>IF(L93="Critical",45,IF(L93="High",32,IF(L93="Moderate",18,8)))+IF(K93&lt;2,20,IF(K93&lt;5,10,0))+IF(M93="None",0,18)+IF(G93="Strategic",12,IF(G93="Premium",8,4))</f>
        <v/>
      </c>
      <c r="P93" s="2">
        <f>IF(O93&gt;=75,"Escalate today",IF(O93&gt;=55,"Intervene in 72 hours",IF(O93&gt;=35,"Monitor daily","On track")))</f>
        <v/>
      </c>
    </row>
    <row r="94">
      <c r="A94" s="2" t="inlineStr">
        <is>
          <t>NGX-2026-0093</t>
        </is>
      </c>
      <c r="B94" s="2" t="inlineStr">
        <is>
          <t>Coffee Beans</t>
        </is>
      </c>
      <c r="C94" s="2" t="inlineStr">
        <is>
          <t>Atlantic Container</t>
        </is>
      </c>
      <c r="D94" s="2" t="inlineStr">
        <is>
          <t>Savannah GA</t>
        </is>
      </c>
      <c r="E94" s="2" t="inlineStr">
        <is>
          <t>Beacon Ingredients</t>
        </is>
      </c>
      <c r="F94" s="2" t="inlineStr">
        <is>
          <t>Evergreen Nutrition</t>
        </is>
      </c>
      <c r="G94" s="2" t="inlineStr">
        <is>
          <t>Strategic</t>
        </is>
      </c>
      <c r="H94" s="2" t="inlineStr">
        <is>
          <t>2026-09-21</t>
        </is>
      </c>
      <c r="I94" s="2" t="n">
        <v>344</v>
      </c>
      <c r="J94" s="2" t="n">
        <v>77056</v>
      </c>
      <c r="K94" s="2" t="n">
        <v>11</v>
      </c>
      <c r="L94" s="2" t="inlineStr">
        <is>
          <t>High</t>
        </is>
      </c>
      <c r="M94" s="2" t="inlineStr">
        <is>
          <t>Mass balance variance</t>
        </is>
      </c>
      <c r="N94" s="2" t="inlineStr">
        <is>
          <t>Noah Whitaker</t>
        </is>
      </c>
      <c r="O94" s="2">
        <f>IF(L94="Critical",45,IF(L94="High",32,IF(L94="Moderate",18,8)))+IF(K94&lt;2,20,IF(K94&lt;5,10,0))+IF(M94="None",0,18)+IF(G94="Strategic",12,IF(G94="Premium",8,4))</f>
        <v/>
      </c>
      <c r="P94" s="2">
        <f>IF(O94&gt;=75,"Escalate today",IF(O94&gt;=55,"Intervene in 72 hours",IF(O94&gt;=35,"Monitor daily","On track")))</f>
        <v/>
      </c>
    </row>
    <row r="95">
      <c r="A95" s="2" t="inlineStr">
        <is>
          <t>NGX-2026-0094</t>
        </is>
      </c>
      <c r="B95" s="2" t="inlineStr">
        <is>
          <t>Canola</t>
        </is>
      </c>
      <c r="C95" s="2" t="inlineStr">
        <is>
          <t>Gulf Export</t>
        </is>
      </c>
      <c r="D95" s="2" t="inlineStr">
        <is>
          <t>St. Louis MO</t>
        </is>
      </c>
      <c r="E95" s="2" t="inlineStr">
        <is>
          <t>Lakeside Protein Co.</t>
        </is>
      </c>
      <c r="F95" s="2" t="inlineStr">
        <is>
          <t>Bluewater Foods</t>
        </is>
      </c>
      <c r="G95" s="2" t="inlineStr">
        <is>
          <t>Strategic</t>
        </is>
      </c>
      <c r="H95" s="2" t="inlineStr">
        <is>
          <t>2026-09-12</t>
        </is>
      </c>
      <c r="I95" s="2" t="n">
        <v>4479</v>
      </c>
      <c r="J95" s="2" t="n">
        <v>2772501</v>
      </c>
      <c r="K95" s="2" t="n">
        <v>4</v>
      </c>
      <c r="L95" s="2" t="inlineStr">
        <is>
          <t>Critical</t>
        </is>
      </c>
      <c r="M95" s="2" t="inlineStr">
        <is>
          <t>None</t>
        </is>
      </c>
      <c r="N95" s="2" t="inlineStr">
        <is>
          <t>Priya Raman</t>
        </is>
      </c>
      <c r="O95" s="2">
        <f>IF(L95="Critical",45,IF(L95="High",32,IF(L95="Moderate",18,8)))+IF(K95&lt;2,20,IF(K95&lt;5,10,0))+IF(M95="None",0,18)+IF(G95="Strategic",12,IF(G95="Premium",8,4))</f>
        <v/>
      </c>
      <c r="P95" s="2">
        <f>IF(O95&gt;=75,"Escalate today",IF(O95&gt;=55,"Intervene in 72 hours",IF(O95&gt;=35,"Monitor daily","On track")))</f>
        <v/>
      </c>
    </row>
    <row r="96">
      <c r="A96" s="2" t="inlineStr">
        <is>
          <t>NGX-2026-0095</t>
        </is>
      </c>
      <c r="B96" s="2" t="inlineStr">
        <is>
          <t>Corn</t>
        </is>
      </c>
      <c r="C96" s="2" t="inlineStr">
        <is>
          <t>Lower Mississippi Barge</t>
        </is>
      </c>
      <c r="D96" s="2" t="inlineStr">
        <is>
          <t>Portland OR</t>
        </is>
      </c>
      <c r="E96" s="2" t="inlineStr">
        <is>
          <t>Beacon Ingredients</t>
        </is>
      </c>
      <c r="F96" s="2" t="inlineStr">
        <is>
          <t>Lakeside Protein Co.</t>
        </is>
      </c>
      <c r="G96" s="2" t="inlineStr">
        <is>
          <t>Strategic</t>
        </is>
      </c>
      <c r="H96" s="2" t="inlineStr">
        <is>
          <t>2026-09-18</t>
        </is>
      </c>
      <c r="I96" s="2" t="n">
        <v>4416</v>
      </c>
      <c r="J96" s="2" t="n">
        <v>2676096</v>
      </c>
      <c r="K96" s="2" t="n">
        <v>3</v>
      </c>
      <c r="L96" s="2" t="inlineStr">
        <is>
          <t>Critical</t>
        </is>
      </c>
      <c r="M96" s="2" t="inlineStr">
        <is>
          <t>Mass balance variance</t>
        </is>
      </c>
      <c r="N96" s="2" t="inlineStr">
        <is>
          <t>Lena Ortiz</t>
        </is>
      </c>
      <c r="O96" s="2">
        <f>IF(L96="Critical",45,IF(L96="High",32,IF(L96="Moderate",18,8)))+IF(K96&lt;2,20,IF(K96&lt;5,10,0))+IF(M96="None",0,18)+IF(G96="Strategic",12,IF(G96="Premium",8,4))</f>
        <v/>
      </c>
      <c r="P96" s="2">
        <f>IF(O96&gt;=75,"Escalate today",IF(O96&gt;=55,"Intervene in 72 hours",IF(O96&gt;=35,"Monitor daily","On track")))</f>
        <v/>
      </c>
    </row>
    <row r="97">
      <c r="A97" s="2" t="inlineStr">
        <is>
          <t>NGX-2026-0096</t>
        </is>
      </c>
      <c r="B97" s="2" t="inlineStr">
        <is>
          <t>Soybean Meal</t>
        </is>
      </c>
      <c r="C97" s="2" t="inlineStr">
        <is>
          <t>Interior Elevator Transfer</t>
        </is>
      </c>
      <c r="D97" s="2" t="inlineStr">
        <is>
          <t>Davenport IA</t>
        </is>
      </c>
      <c r="E97" s="2" t="inlineStr">
        <is>
          <t>Crescent Bakery Group</t>
        </is>
      </c>
      <c r="F97" s="2" t="inlineStr">
        <is>
          <t>Crescent Bakery Group</t>
        </is>
      </c>
      <c r="G97" s="2" t="inlineStr">
        <is>
          <t>Premium</t>
        </is>
      </c>
      <c r="H97" s="2" t="inlineStr">
        <is>
          <t>2026-09-10</t>
        </is>
      </c>
      <c r="I97" s="2" t="n">
        <v>2352</v>
      </c>
      <c r="J97" s="2" t="n">
        <v>493920</v>
      </c>
      <c r="K97" s="2" t="n">
        <v>7</v>
      </c>
      <c r="L97" s="2" t="inlineStr">
        <is>
          <t>Low</t>
        </is>
      </c>
      <c r="M97" s="2" t="inlineStr">
        <is>
          <t>Chain-of-custody gap</t>
        </is>
      </c>
      <c r="N97" s="2" t="inlineStr">
        <is>
          <t>Maya Chen</t>
        </is>
      </c>
      <c r="O97" s="2">
        <f>IF(L97="Critical",45,IF(L97="High",32,IF(L97="Moderate",18,8)))+IF(K97&lt;2,20,IF(K97&lt;5,10,0))+IF(M97="None",0,18)+IF(G97="Strategic",12,IF(G97="Premium",8,4))</f>
        <v/>
      </c>
      <c r="P97" s="2">
        <f>IF(O97&gt;=75,"Escalate today",IF(O97&gt;=55,"Intervene in 72 hours",IF(O97&gt;=35,"Monitor daily","On track")))</f>
        <v/>
      </c>
    </row>
    <row r="98">
      <c r="A98" s="2" t="inlineStr">
        <is>
          <t>NGX-2026-0097</t>
        </is>
      </c>
      <c r="B98" s="2" t="inlineStr">
        <is>
          <t>Rice</t>
        </is>
      </c>
      <c r="C98" s="2" t="inlineStr">
        <is>
          <t>Upper Midwest Feed</t>
        </is>
      </c>
      <c r="D98" s="2" t="inlineStr">
        <is>
          <t>Toledo OH</t>
        </is>
      </c>
      <c r="E98" s="2" t="inlineStr">
        <is>
          <t>Crescent Bakery Group</t>
        </is>
      </c>
      <c r="F98" s="2" t="inlineStr">
        <is>
          <t>Evergreen Nutrition</t>
        </is>
      </c>
      <c r="G98" s="2" t="inlineStr">
        <is>
          <t>Strategic</t>
        </is>
      </c>
      <c r="H98" s="2" t="inlineStr">
        <is>
          <t>2026-09-10</t>
        </is>
      </c>
      <c r="I98" s="2" t="n">
        <v>5101</v>
      </c>
      <c r="J98" s="2" t="n">
        <v>1622118</v>
      </c>
      <c r="K98" s="2" t="n">
        <v>5</v>
      </c>
      <c r="L98" s="2" t="inlineStr">
        <is>
          <t>Critical</t>
        </is>
      </c>
      <c r="M98" s="2" t="inlineStr">
        <is>
          <t>Supplier attestation late</t>
        </is>
      </c>
      <c r="N98" s="2" t="inlineStr">
        <is>
          <t>Noah Whitaker</t>
        </is>
      </c>
      <c r="O98" s="2">
        <f>IF(L98="Critical",45,IF(L98="High",32,IF(L98="Moderate",18,8)))+IF(K98&lt;2,20,IF(K98&lt;5,10,0))+IF(M98="None",0,18)+IF(G98="Strategic",12,IF(G98="Premium",8,4))</f>
        <v/>
      </c>
      <c r="P98" s="2">
        <f>IF(O98&gt;=75,"Escalate today",IF(O98&gt;=55,"Intervene in 72 hours",IF(O98&gt;=35,"Monitor daily","On track")))</f>
        <v/>
      </c>
    </row>
    <row r="99">
      <c r="A99" s="2" t="inlineStr">
        <is>
          <t>NGX-2026-0098</t>
        </is>
      </c>
      <c r="B99" s="2" t="inlineStr">
        <is>
          <t>Soybean Meal</t>
        </is>
      </c>
      <c r="C99" s="2" t="inlineStr">
        <is>
          <t>Gulf Export</t>
        </is>
      </c>
      <c r="D99" s="2" t="inlineStr">
        <is>
          <t>Omaha NE</t>
        </is>
      </c>
      <c r="E99" s="2" t="inlineStr">
        <is>
          <t>Bluewater Foods</t>
        </is>
      </c>
      <c r="F99" s="2" t="inlineStr">
        <is>
          <t>Beacon Ingredients</t>
        </is>
      </c>
      <c r="G99" s="2" t="inlineStr">
        <is>
          <t>Strategic</t>
        </is>
      </c>
      <c r="H99" s="2" t="inlineStr">
        <is>
          <t>2026-09-21</t>
        </is>
      </c>
      <c r="I99" s="2" t="n">
        <v>1238</v>
      </c>
      <c r="J99" s="2" t="n">
        <v>599192</v>
      </c>
      <c r="K99" s="2" t="n">
        <v>4</v>
      </c>
      <c r="L99" s="2" t="inlineStr">
        <is>
          <t>Low</t>
        </is>
      </c>
      <c r="M99" s="2" t="inlineStr">
        <is>
          <t>Mass balance variance</t>
        </is>
      </c>
      <c r="N99" s="2" t="inlineStr">
        <is>
          <t>Noah Whitaker</t>
        </is>
      </c>
      <c r="O99" s="2">
        <f>IF(L99="Critical",45,IF(L99="High",32,IF(L99="Moderate",18,8)))+IF(K99&lt;2,20,IF(K99&lt;5,10,0))+IF(M99="None",0,18)+IF(G99="Strategic",12,IF(G99="Premium",8,4))</f>
        <v/>
      </c>
      <c r="P99" s="2">
        <f>IF(O99&gt;=75,"Escalate today",IF(O99&gt;=55,"Intervene in 72 hours",IF(O99&gt;=35,"Monitor daily","On track")))</f>
        <v/>
      </c>
    </row>
    <row r="100">
      <c r="A100" s="2" t="inlineStr">
        <is>
          <t>NGX-2026-0099</t>
        </is>
      </c>
      <c r="B100" s="2" t="inlineStr">
        <is>
          <t>Coffee Beans</t>
        </is>
      </c>
      <c r="C100" s="2" t="inlineStr">
        <is>
          <t>Upper Midwest Feed</t>
        </is>
      </c>
      <c r="D100" s="2" t="inlineStr">
        <is>
          <t>Fresno CA</t>
        </is>
      </c>
      <c r="E100" s="2" t="inlineStr">
        <is>
          <t>Tacoma Export Pier</t>
        </is>
      </c>
      <c r="F100" s="2" t="inlineStr">
        <is>
          <t>Beacon Ingredients</t>
        </is>
      </c>
      <c r="G100" s="2" t="inlineStr">
        <is>
          <t>Standard</t>
        </is>
      </c>
      <c r="H100" s="2" t="inlineStr">
        <is>
          <t>2026-09-18</t>
        </is>
      </c>
      <c r="I100" s="2" t="n">
        <v>2076</v>
      </c>
      <c r="J100" s="2" t="n">
        <v>1083672</v>
      </c>
      <c r="K100" s="2" t="n">
        <v>5</v>
      </c>
      <c r="L100" s="2" t="inlineStr">
        <is>
          <t>Moderate</t>
        </is>
      </c>
      <c r="M100" s="2" t="inlineStr">
        <is>
          <t>Mass balance variance</t>
        </is>
      </c>
      <c r="N100" s="2" t="inlineStr">
        <is>
          <t>Maya Chen</t>
        </is>
      </c>
      <c r="O100" s="2">
        <f>IF(L100="Critical",45,IF(L100="High",32,IF(L100="Moderate",18,8)))+IF(K100&lt;2,20,IF(K100&lt;5,10,0))+IF(M100="None",0,18)+IF(G100="Strategic",12,IF(G100="Premium",8,4))</f>
        <v/>
      </c>
      <c r="P100" s="2">
        <f>IF(O100&gt;=75,"Escalate today",IF(O100&gt;=55,"Intervene in 72 hours",IF(O100&gt;=35,"Monitor daily","On track")))</f>
        <v/>
      </c>
    </row>
    <row r="101">
      <c r="A101" s="2" t="inlineStr">
        <is>
          <t>NGX-2026-0100</t>
        </is>
      </c>
      <c r="B101" s="2" t="inlineStr">
        <is>
          <t>Cottonseed Meal</t>
        </is>
      </c>
      <c r="C101" s="2" t="inlineStr">
        <is>
          <t>Gulf Export</t>
        </is>
      </c>
      <c r="D101" s="2" t="inlineStr">
        <is>
          <t>Portland OR</t>
        </is>
      </c>
      <c r="E101" s="2" t="inlineStr">
        <is>
          <t>Cedar Valley Feedworks</t>
        </is>
      </c>
      <c r="F101" s="2" t="inlineStr">
        <is>
          <t>Harborview Milling</t>
        </is>
      </c>
      <c r="G101" s="2" t="inlineStr">
        <is>
          <t>Premium</t>
        </is>
      </c>
      <c r="H101" s="2" t="inlineStr">
        <is>
          <t>2026-09-21</t>
        </is>
      </c>
      <c r="I101" s="2" t="n">
        <v>535</v>
      </c>
      <c r="J101" s="2" t="n">
        <v>308160</v>
      </c>
      <c r="K101" s="2" t="n">
        <v>9</v>
      </c>
      <c r="L101" s="2" t="inlineStr">
        <is>
          <t>Moderate</t>
        </is>
      </c>
      <c r="M101" s="2" t="inlineStr">
        <is>
          <t>Document review</t>
        </is>
      </c>
      <c r="N101" s="2" t="inlineStr">
        <is>
          <t>Lena Ortiz</t>
        </is>
      </c>
      <c r="O101" s="2">
        <f>IF(L101="Critical",45,IF(L101="High",32,IF(L101="Moderate",18,8)))+IF(K101&lt;2,20,IF(K101&lt;5,10,0))+IF(M101="None",0,18)+IF(G101="Strategic",12,IF(G101="Premium",8,4))</f>
        <v/>
      </c>
      <c r="P101" s="2">
        <f>IF(O101&gt;=75,"Escalate today",IF(O101&gt;=55,"Intervene in 72 hours",IF(O101&gt;=35,"Monitor daily","On track")))</f>
        <v/>
      </c>
    </row>
    <row r="102">
      <c r="A102" s="2" t="inlineStr">
        <is>
          <t>NGX-2026-0101</t>
        </is>
      </c>
      <c r="B102" s="2" t="inlineStr">
        <is>
          <t>Cottonseed Meal</t>
        </is>
      </c>
      <c r="C102" s="2" t="inlineStr">
        <is>
          <t>Gulf Export</t>
        </is>
      </c>
      <c r="D102" s="2" t="inlineStr">
        <is>
          <t>Davenport IA</t>
        </is>
      </c>
      <c r="E102" s="2" t="inlineStr">
        <is>
          <t>Crescent Bakery Group</t>
        </is>
      </c>
      <c r="F102" s="2" t="inlineStr">
        <is>
          <t>Crescent Bakery Group</t>
        </is>
      </c>
      <c r="G102" s="2" t="inlineStr">
        <is>
          <t>Premium</t>
        </is>
      </c>
      <c r="H102" s="2" t="inlineStr">
        <is>
          <t>2026-09-18</t>
        </is>
      </c>
      <c r="I102" s="2" t="n">
        <v>746</v>
      </c>
      <c r="J102" s="2" t="n">
        <v>505042</v>
      </c>
      <c r="K102" s="2" t="n">
        <v>2</v>
      </c>
      <c r="L102" s="2" t="inlineStr">
        <is>
          <t>Low</t>
        </is>
      </c>
      <c r="M102" s="2" t="inlineStr">
        <is>
          <t>Document review</t>
        </is>
      </c>
      <c r="N102" s="2" t="inlineStr">
        <is>
          <t>Evan Brooks</t>
        </is>
      </c>
      <c r="O102" s="2">
        <f>IF(L102="Critical",45,IF(L102="High",32,IF(L102="Moderate",18,8)))+IF(K102&lt;2,20,IF(K102&lt;5,10,0))+IF(M102="None",0,18)+IF(G102="Strategic",12,IF(G102="Premium",8,4))</f>
        <v/>
      </c>
      <c r="P102" s="2">
        <f>IF(O102&gt;=75,"Escalate today",IF(O102&gt;=55,"Intervene in 72 hours",IF(O102&gt;=35,"Monitor daily","On track")))</f>
        <v/>
      </c>
    </row>
    <row r="103">
      <c r="A103" s="2" t="inlineStr">
        <is>
          <t>NGX-2026-0102</t>
        </is>
      </c>
      <c r="B103" s="2" t="inlineStr">
        <is>
          <t>Rice</t>
        </is>
      </c>
      <c r="C103" s="2" t="inlineStr">
        <is>
          <t>Upper Midwest Feed</t>
        </is>
      </c>
      <c r="D103" s="2" t="inlineStr">
        <is>
          <t>St. Louis MO</t>
        </is>
      </c>
      <c r="E103" s="2" t="inlineStr">
        <is>
          <t>Tacoma Export Pier</t>
        </is>
      </c>
      <c r="F103" s="2" t="inlineStr">
        <is>
          <t>Bluewater Foods</t>
        </is>
      </c>
      <c r="G103" s="2" t="inlineStr">
        <is>
          <t>Premium</t>
        </is>
      </c>
      <c r="H103" s="2" t="inlineStr">
        <is>
          <t>2026-09-13</t>
        </is>
      </c>
      <c r="I103" s="2" t="n">
        <v>391</v>
      </c>
      <c r="J103" s="2" t="n">
        <v>239292</v>
      </c>
      <c r="K103" s="2" t="n">
        <v>1</v>
      </c>
      <c r="L103" s="2" t="inlineStr">
        <is>
          <t>High</t>
        </is>
      </c>
      <c r="M103" s="2" t="inlineStr">
        <is>
          <t>Supplier attestation late</t>
        </is>
      </c>
      <c r="N103" s="2" t="inlineStr">
        <is>
          <t>Noah Whitaker</t>
        </is>
      </c>
      <c r="O103" s="2">
        <f>IF(L103="Critical",45,IF(L103="High",32,IF(L103="Moderate",18,8)))+IF(K103&lt;2,20,IF(K103&lt;5,10,0))+IF(M103="None",0,18)+IF(G103="Strategic",12,IF(G103="Premium",8,4))</f>
        <v/>
      </c>
      <c r="P103" s="2">
        <f>IF(O103&gt;=75,"Escalate today",IF(O103&gt;=55,"Intervene in 72 hours",IF(O103&gt;=35,"Monitor daily","On track")))</f>
        <v/>
      </c>
    </row>
    <row r="104">
      <c r="A104" s="2" t="inlineStr">
        <is>
          <t>NGX-2026-0103</t>
        </is>
      </c>
      <c r="B104" s="2" t="inlineStr">
        <is>
          <t>Coffee Beans</t>
        </is>
      </c>
      <c r="C104" s="2" t="inlineStr">
        <is>
          <t>Gulf Export</t>
        </is>
      </c>
      <c r="D104" s="2" t="inlineStr">
        <is>
          <t>Portland OR</t>
        </is>
      </c>
      <c r="E104" s="2" t="inlineStr">
        <is>
          <t>Beacon Ingredients</t>
        </is>
      </c>
      <c r="F104" s="2" t="inlineStr">
        <is>
          <t>Bluewater Foods</t>
        </is>
      </c>
      <c r="G104" s="2" t="inlineStr">
        <is>
          <t>Strategic</t>
        </is>
      </c>
      <c r="H104" s="2" t="inlineStr">
        <is>
          <t>2026-09-20</t>
        </is>
      </c>
      <c r="I104" s="2" t="n">
        <v>966</v>
      </c>
      <c r="J104" s="2" t="n">
        <v>265650</v>
      </c>
      <c r="K104" s="2" t="n">
        <v>2</v>
      </c>
      <c r="L104" s="2" t="inlineStr">
        <is>
          <t>Low</t>
        </is>
      </c>
      <c r="M104" s="2" t="inlineStr">
        <is>
          <t>Chain-of-custody gap</t>
        </is>
      </c>
      <c r="N104" s="2" t="inlineStr">
        <is>
          <t>Noah Whitaker</t>
        </is>
      </c>
      <c r="O104" s="2">
        <f>IF(L104="Critical",45,IF(L104="High",32,IF(L104="Moderate",18,8)))+IF(K104&lt;2,20,IF(K104&lt;5,10,0))+IF(M104="None",0,18)+IF(G104="Strategic",12,IF(G104="Premium",8,4))</f>
        <v/>
      </c>
      <c r="P104" s="2">
        <f>IF(O104&gt;=75,"Escalate today",IF(O104&gt;=55,"Intervene in 72 hours",IF(O104&gt;=35,"Monitor daily","On track")))</f>
        <v/>
      </c>
    </row>
    <row r="105">
      <c r="A105" s="2" t="inlineStr">
        <is>
          <t>NGX-2026-0104</t>
        </is>
      </c>
      <c r="B105" s="2" t="inlineStr">
        <is>
          <t>Cottonseed Meal</t>
        </is>
      </c>
      <c r="C105" s="2" t="inlineStr">
        <is>
          <t>Lower Mississippi Barge</t>
        </is>
      </c>
      <c r="D105" s="2" t="inlineStr">
        <is>
          <t>Fresno CA</t>
        </is>
      </c>
      <c r="E105" s="2" t="inlineStr">
        <is>
          <t>Lakeside Protein Co.</t>
        </is>
      </c>
      <c r="F105" s="2" t="inlineStr">
        <is>
          <t>Harborview Milling</t>
        </is>
      </c>
      <c r="G105" s="2" t="inlineStr">
        <is>
          <t>Strategic</t>
        </is>
      </c>
      <c r="H105" s="2" t="inlineStr">
        <is>
          <t>2026-09-15</t>
        </is>
      </c>
      <c r="I105" s="2" t="n">
        <v>1478</v>
      </c>
      <c r="J105" s="2" t="n">
        <v>705006</v>
      </c>
      <c r="K105" s="2" t="n">
        <v>8</v>
      </c>
      <c r="L105" s="2" t="inlineStr">
        <is>
          <t>Critical</t>
        </is>
      </c>
      <c r="M105" s="2" t="inlineStr">
        <is>
          <t>None</t>
        </is>
      </c>
      <c r="N105" s="2" t="inlineStr">
        <is>
          <t>Evan Brooks</t>
        </is>
      </c>
      <c r="O105" s="2">
        <f>IF(L105="Critical",45,IF(L105="High",32,IF(L105="Moderate",18,8)))+IF(K105&lt;2,20,IF(K105&lt;5,10,0))+IF(M105="None",0,18)+IF(G105="Strategic",12,IF(G105="Premium",8,4))</f>
        <v/>
      </c>
      <c r="P105" s="2">
        <f>IF(O105&gt;=75,"Escalate today",IF(O105&gt;=55,"Intervene in 72 hours",IF(O105&gt;=35,"Monitor daily","On track")))</f>
        <v/>
      </c>
    </row>
    <row r="106">
      <c r="A106" s="2" t="inlineStr">
        <is>
          <t>NGX-2026-0105</t>
        </is>
      </c>
      <c r="B106" s="2" t="inlineStr">
        <is>
          <t>Cottonseed Meal</t>
        </is>
      </c>
      <c r="C106" s="2" t="inlineStr">
        <is>
          <t>Lower Mississippi Barge</t>
        </is>
      </c>
      <c r="D106" s="2" t="inlineStr">
        <is>
          <t>St. Louis MO</t>
        </is>
      </c>
      <c r="E106" s="2" t="inlineStr">
        <is>
          <t>New Orleans Terminal</t>
        </is>
      </c>
      <c r="F106" s="2" t="inlineStr">
        <is>
          <t>Beacon Ingredients</t>
        </is>
      </c>
      <c r="G106" s="2" t="inlineStr">
        <is>
          <t>Premium</t>
        </is>
      </c>
      <c r="H106" s="2" t="inlineStr">
        <is>
          <t>2026-09-18</t>
        </is>
      </c>
      <c r="I106" s="2" t="n">
        <v>2475</v>
      </c>
      <c r="J106" s="2" t="n">
        <v>1618650</v>
      </c>
      <c r="K106" s="2" t="n">
        <v>8</v>
      </c>
      <c r="L106" s="2" t="inlineStr">
        <is>
          <t>Moderate</t>
        </is>
      </c>
      <c r="M106" s="2" t="inlineStr">
        <is>
          <t>Mass balance variance</t>
        </is>
      </c>
      <c r="N106" s="2" t="inlineStr">
        <is>
          <t>Maya Chen</t>
        </is>
      </c>
      <c r="O106" s="2">
        <f>IF(L106="Critical",45,IF(L106="High",32,IF(L106="Moderate",18,8)))+IF(K106&lt;2,20,IF(K106&lt;5,10,0))+IF(M106="None",0,18)+IF(G106="Strategic",12,IF(G106="Premium",8,4))</f>
        <v/>
      </c>
      <c r="P106" s="2">
        <f>IF(O106&gt;=75,"Escalate today",IF(O106&gt;=55,"Intervene in 72 hours",IF(O106&gt;=35,"Monitor daily","On track")))</f>
        <v/>
      </c>
    </row>
    <row r="107">
      <c r="A107" s="2" t="inlineStr">
        <is>
          <t>NGX-2026-0106</t>
        </is>
      </c>
      <c r="B107" s="2" t="inlineStr">
        <is>
          <t>Coffee Beans</t>
        </is>
      </c>
      <c r="C107" s="2" t="inlineStr">
        <is>
          <t>Interior Elevator Transfer</t>
        </is>
      </c>
      <c r="D107" s="2" t="inlineStr">
        <is>
          <t>St. Louis MO</t>
        </is>
      </c>
      <c r="E107" s="2" t="inlineStr">
        <is>
          <t>Crescent Bakery Group</t>
        </is>
      </c>
      <c r="F107" s="2" t="inlineStr">
        <is>
          <t>Southport Trading House</t>
        </is>
      </c>
      <c r="G107" s="2" t="inlineStr">
        <is>
          <t>Premium</t>
        </is>
      </c>
      <c r="H107" s="2" t="inlineStr">
        <is>
          <t>2026-09-14</t>
        </is>
      </c>
      <c r="I107" s="2" t="n">
        <v>3510</v>
      </c>
      <c r="J107" s="2" t="n">
        <v>1140750</v>
      </c>
      <c r="K107" s="2" t="n">
        <v>4</v>
      </c>
      <c r="L107" s="2" t="inlineStr">
        <is>
          <t>Low</t>
        </is>
      </c>
      <c r="M107" s="2" t="inlineStr">
        <is>
          <t>Chain-of-custody gap</t>
        </is>
      </c>
      <c r="N107" s="2" t="inlineStr">
        <is>
          <t>Priya Raman</t>
        </is>
      </c>
      <c r="O107" s="2">
        <f>IF(L107="Critical",45,IF(L107="High",32,IF(L107="Moderate",18,8)))+IF(K107&lt;2,20,IF(K107&lt;5,10,0))+IF(M107="None",0,18)+IF(G107="Strategic",12,IF(G107="Premium",8,4))</f>
        <v/>
      </c>
      <c r="P107" s="2">
        <f>IF(O107&gt;=75,"Escalate today",IF(O107&gt;=55,"Intervene in 72 hours",IF(O107&gt;=35,"Monitor daily","On track")))</f>
        <v/>
      </c>
    </row>
    <row r="108">
      <c r="A108" s="2" t="inlineStr">
        <is>
          <t>NGX-2026-0107</t>
        </is>
      </c>
      <c r="B108" s="2" t="inlineStr">
        <is>
          <t>Cottonseed Meal</t>
        </is>
      </c>
      <c r="C108" s="2" t="inlineStr">
        <is>
          <t>Pacific Northwest Rail</t>
        </is>
      </c>
      <c r="D108" s="2" t="inlineStr">
        <is>
          <t>Fresno CA</t>
        </is>
      </c>
      <c r="E108" s="2" t="inlineStr">
        <is>
          <t>Lakeside Protein Co.</t>
        </is>
      </c>
      <c r="F108" s="2" t="inlineStr">
        <is>
          <t>Harborview Milling</t>
        </is>
      </c>
      <c r="G108" s="2" t="inlineStr">
        <is>
          <t>Strategic</t>
        </is>
      </c>
      <c r="H108" s="2" t="inlineStr">
        <is>
          <t>2026-09-17</t>
        </is>
      </c>
      <c r="I108" s="2" t="n">
        <v>3204</v>
      </c>
      <c r="J108" s="2" t="n">
        <v>964404</v>
      </c>
      <c r="K108" s="2" t="n">
        <v>5</v>
      </c>
      <c r="L108" s="2" t="inlineStr">
        <is>
          <t>Critical</t>
        </is>
      </c>
      <c r="M108" s="2" t="inlineStr">
        <is>
          <t>Supplier attestation late</t>
        </is>
      </c>
      <c r="N108" s="2" t="inlineStr">
        <is>
          <t>Noah Whitaker</t>
        </is>
      </c>
      <c r="O108" s="2">
        <f>IF(L108="Critical",45,IF(L108="High",32,IF(L108="Moderate",18,8)))+IF(K108&lt;2,20,IF(K108&lt;5,10,0))+IF(M108="None",0,18)+IF(G108="Strategic",12,IF(G108="Premium",8,4))</f>
        <v/>
      </c>
      <c r="P108" s="2">
        <f>IF(O108&gt;=75,"Escalate today",IF(O108&gt;=55,"Intervene in 72 hours",IF(O108&gt;=35,"Monitor daily","On track")))</f>
        <v/>
      </c>
    </row>
    <row r="109">
      <c r="A109" s="2" t="inlineStr">
        <is>
          <t>NGX-2026-0108</t>
        </is>
      </c>
      <c r="B109" s="2" t="inlineStr">
        <is>
          <t>Corn</t>
        </is>
      </c>
      <c r="C109" s="2" t="inlineStr">
        <is>
          <t>Lower Mississippi Barge</t>
        </is>
      </c>
      <c r="D109" s="2" t="inlineStr">
        <is>
          <t>Omaha NE</t>
        </is>
      </c>
      <c r="E109" s="2" t="inlineStr">
        <is>
          <t>Beacon Ingredients</t>
        </is>
      </c>
      <c r="F109" s="2" t="inlineStr">
        <is>
          <t>Crescent Bakery Group</t>
        </is>
      </c>
      <c r="G109" s="2" t="inlineStr">
        <is>
          <t>Premium</t>
        </is>
      </c>
      <c r="H109" s="2" t="inlineStr">
        <is>
          <t>2026-09-09</t>
        </is>
      </c>
      <c r="I109" s="2" t="n">
        <v>1127</v>
      </c>
      <c r="J109" s="2" t="n">
        <v>633374</v>
      </c>
      <c r="K109" s="2" t="n">
        <v>6</v>
      </c>
      <c r="L109" s="2" t="inlineStr">
        <is>
          <t>High</t>
        </is>
      </c>
      <c r="M109" s="2" t="inlineStr">
        <is>
          <t>Document review</t>
        </is>
      </c>
      <c r="N109" s="2" t="inlineStr">
        <is>
          <t>Priya Raman</t>
        </is>
      </c>
      <c r="O109" s="2">
        <f>IF(L109="Critical",45,IF(L109="High",32,IF(L109="Moderate",18,8)))+IF(K109&lt;2,20,IF(K109&lt;5,10,0))+IF(M109="None",0,18)+IF(G109="Strategic",12,IF(G109="Premium",8,4))</f>
        <v/>
      </c>
      <c r="P109" s="2">
        <f>IF(O109&gt;=75,"Escalate today",IF(O109&gt;=55,"Intervene in 72 hours",IF(O109&gt;=35,"Monitor daily","On track")))</f>
        <v/>
      </c>
    </row>
    <row r="110">
      <c r="A110" s="2" t="inlineStr">
        <is>
          <t>NGX-2026-0109</t>
        </is>
      </c>
      <c r="B110" s="2" t="inlineStr">
        <is>
          <t>Soybean Meal</t>
        </is>
      </c>
      <c r="C110" s="2" t="inlineStr">
        <is>
          <t>Interior Elevator Transfer</t>
        </is>
      </c>
      <c r="D110" s="2" t="inlineStr">
        <is>
          <t>Savannah GA</t>
        </is>
      </c>
      <c r="E110" s="2" t="inlineStr">
        <is>
          <t>New Orleans Terminal</t>
        </is>
      </c>
      <c r="F110" s="2" t="inlineStr">
        <is>
          <t>Pioneer Feed Cooperative</t>
        </is>
      </c>
      <c r="G110" s="2" t="inlineStr">
        <is>
          <t>Standard</t>
        </is>
      </c>
      <c r="H110" s="2" t="inlineStr">
        <is>
          <t>2026-09-12</t>
        </is>
      </c>
      <c r="I110" s="2" t="n">
        <v>3548</v>
      </c>
      <c r="J110" s="2" t="n">
        <v>1025372</v>
      </c>
      <c r="K110" s="2" t="n">
        <v>11</v>
      </c>
      <c r="L110" s="2" t="inlineStr">
        <is>
          <t>High</t>
        </is>
      </c>
      <c r="M110" s="2" t="inlineStr">
        <is>
          <t>None</t>
        </is>
      </c>
      <c r="N110" s="2" t="inlineStr">
        <is>
          <t>Maya Chen</t>
        </is>
      </c>
      <c r="O110" s="2">
        <f>IF(L110="Critical",45,IF(L110="High",32,IF(L110="Moderate",18,8)))+IF(K110&lt;2,20,IF(K110&lt;5,10,0))+IF(M110="None",0,18)+IF(G110="Strategic",12,IF(G110="Premium",8,4))</f>
        <v/>
      </c>
      <c r="P110" s="2">
        <f>IF(O110&gt;=75,"Escalate today",IF(O110&gt;=55,"Intervene in 72 hours",IF(O110&gt;=35,"Monitor daily","On track")))</f>
        <v/>
      </c>
    </row>
    <row r="111">
      <c r="A111" s="2" t="inlineStr">
        <is>
          <t>NGX-2026-0110</t>
        </is>
      </c>
      <c r="B111" s="2" t="inlineStr">
        <is>
          <t>Soft Red Winter Wheat</t>
        </is>
      </c>
      <c r="C111" s="2" t="inlineStr">
        <is>
          <t>Atlantic Container</t>
        </is>
      </c>
      <c r="D111" s="2" t="inlineStr">
        <is>
          <t>Portland OR</t>
        </is>
      </c>
      <c r="E111" s="2" t="inlineStr">
        <is>
          <t>Cedar Valley Feedworks</t>
        </is>
      </c>
      <c r="F111" s="2" t="inlineStr">
        <is>
          <t>Pioneer Feed Cooperative</t>
        </is>
      </c>
      <c r="G111" s="2" t="inlineStr">
        <is>
          <t>Premium</t>
        </is>
      </c>
      <c r="H111" s="2" t="inlineStr">
        <is>
          <t>2026-09-14</t>
        </is>
      </c>
      <c r="I111" s="2" t="n">
        <v>4809</v>
      </c>
      <c r="J111" s="2" t="n">
        <v>1740858</v>
      </c>
      <c r="K111" s="2" t="n">
        <v>0</v>
      </c>
      <c r="L111" s="2" t="inlineStr">
        <is>
          <t>Moderate</t>
        </is>
      </c>
      <c r="M111" s="2" t="inlineStr">
        <is>
          <t>None</t>
        </is>
      </c>
      <c r="N111" s="2" t="inlineStr">
        <is>
          <t>Maya Chen</t>
        </is>
      </c>
      <c r="O111" s="2">
        <f>IF(L111="Critical",45,IF(L111="High",32,IF(L111="Moderate",18,8)))+IF(K111&lt;2,20,IF(K111&lt;5,10,0))+IF(M111="None",0,18)+IF(G111="Strategic",12,IF(G111="Premium",8,4))</f>
        <v/>
      </c>
      <c r="P111" s="2">
        <f>IF(O111&gt;=75,"Escalate today",IF(O111&gt;=55,"Intervene in 72 hours",IF(O111&gt;=35,"Monitor daily","On track")))</f>
        <v/>
      </c>
    </row>
    <row r="112">
      <c r="A112" s="2" t="inlineStr">
        <is>
          <t>NGX-2026-0111</t>
        </is>
      </c>
      <c r="B112" s="2" t="inlineStr">
        <is>
          <t>Canola</t>
        </is>
      </c>
      <c r="C112" s="2" t="inlineStr">
        <is>
          <t>Atlantic Container</t>
        </is>
      </c>
      <c r="D112" s="2" t="inlineStr">
        <is>
          <t>Savannah GA</t>
        </is>
      </c>
      <c r="E112" s="2" t="inlineStr">
        <is>
          <t>Beacon Ingredients</t>
        </is>
      </c>
      <c r="F112" s="2" t="inlineStr">
        <is>
          <t>Southport Trading House</t>
        </is>
      </c>
      <c r="G112" s="2" t="inlineStr">
        <is>
          <t>Strategic</t>
        </is>
      </c>
      <c r="H112" s="2" t="inlineStr">
        <is>
          <t>2026-09-11</t>
        </is>
      </c>
      <c r="I112" s="2" t="n">
        <v>1400</v>
      </c>
      <c r="J112" s="2" t="n">
        <v>497000</v>
      </c>
      <c r="K112" s="2" t="n">
        <v>4</v>
      </c>
      <c r="L112" s="2" t="inlineStr">
        <is>
          <t>High</t>
        </is>
      </c>
      <c r="M112" s="2" t="inlineStr">
        <is>
          <t>Supplier attestation late</t>
        </is>
      </c>
      <c r="N112" s="2" t="inlineStr">
        <is>
          <t>Priya Raman</t>
        </is>
      </c>
      <c r="O112" s="2">
        <f>IF(L112="Critical",45,IF(L112="High",32,IF(L112="Moderate",18,8)))+IF(K112&lt;2,20,IF(K112&lt;5,10,0))+IF(M112="None",0,18)+IF(G112="Strategic",12,IF(G112="Premium",8,4))</f>
        <v/>
      </c>
      <c r="P112" s="2">
        <f>IF(O112&gt;=75,"Escalate today",IF(O112&gt;=55,"Intervene in 72 hours",IF(O112&gt;=35,"Monitor daily","On track")))</f>
        <v/>
      </c>
    </row>
    <row r="113">
      <c r="A113" s="2" t="inlineStr">
        <is>
          <t>NGX-2026-0112</t>
        </is>
      </c>
      <c r="B113" s="2" t="inlineStr">
        <is>
          <t>Coffee Beans</t>
        </is>
      </c>
      <c r="C113" s="2" t="inlineStr">
        <is>
          <t>Atlantic Container</t>
        </is>
      </c>
      <c r="D113" s="2" t="inlineStr">
        <is>
          <t>Davenport IA</t>
        </is>
      </c>
      <c r="E113" s="2" t="inlineStr">
        <is>
          <t>Crescent Bakery Group</t>
        </is>
      </c>
      <c r="F113" s="2" t="inlineStr">
        <is>
          <t>Pioneer Feed Cooperative</t>
        </is>
      </c>
      <c r="G113" s="2" t="inlineStr">
        <is>
          <t>Strategic</t>
        </is>
      </c>
      <c r="H113" s="2" t="inlineStr">
        <is>
          <t>2026-09-16</t>
        </is>
      </c>
      <c r="I113" s="2" t="n">
        <v>2463</v>
      </c>
      <c r="J113" s="2" t="n">
        <v>1162536</v>
      </c>
      <c r="K113" s="2" t="n">
        <v>12</v>
      </c>
      <c r="L113" s="2" t="inlineStr">
        <is>
          <t>High</t>
        </is>
      </c>
      <c r="M113" s="2" t="inlineStr">
        <is>
          <t>Mass balance variance</t>
        </is>
      </c>
      <c r="N113" s="2" t="inlineStr">
        <is>
          <t>Lena Ortiz</t>
        </is>
      </c>
      <c r="O113" s="2">
        <f>IF(L113="Critical",45,IF(L113="High",32,IF(L113="Moderate",18,8)))+IF(K113&lt;2,20,IF(K113&lt;5,10,0))+IF(M113="None",0,18)+IF(G113="Strategic",12,IF(G113="Premium",8,4))</f>
        <v/>
      </c>
      <c r="P113" s="2">
        <f>IF(O113&gt;=75,"Escalate today",IF(O113&gt;=55,"Intervene in 72 hours",IF(O113&gt;=35,"Monitor daily","On track")))</f>
        <v/>
      </c>
    </row>
    <row r="114">
      <c r="A114" s="2" t="inlineStr">
        <is>
          <t>NGX-2026-0113</t>
        </is>
      </c>
      <c r="B114" s="2" t="inlineStr">
        <is>
          <t>Raw Sugar</t>
        </is>
      </c>
      <c r="C114" s="2" t="inlineStr">
        <is>
          <t>Upper Midwest Feed</t>
        </is>
      </c>
      <c r="D114" s="2" t="inlineStr">
        <is>
          <t>Portland OR</t>
        </is>
      </c>
      <c r="E114" s="2" t="inlineStr">
        <is>
          <t>Tacoma Export Pier</t>
        </is>
      </c>
      <c r="F114" s="2" t="inlineStr">
        <is>
          <t>Crescent Bakery Group</t>
        </is>
      </c>
      <c r="G114" s="2" t="inlineStr">
        <is>
          <t>Strategic</t>
        </is>
      </c>
      <c r="H114" s="2" t="inlineStr">
        <is>
          <t>2026-09-10</t>
        </is>
      </c>
      <c r="I114" s="2" t="n">
        <v>3750</v>
      </c>
      <c r="J114" s="2" t="n">
        <v>1387500</v>
      </c>
      <c r="K114" s="2" t="n">
        <v>1</v>
      </c>
      <c r="L114" s="2" t="inlineStr">
        <is>
          <t>Low</t>
        </is>
      </c>
      <c r="M114" s="2" t="inlineStr">
        <is>
          <t>Mass balance variance</t>
        </is>
      </c>
      <c r="N114" s="2" t="inlineStr">
        <is>
          <t>Lena Ortiz</t>
        </is>
      </c>
      <c r="O114" s="2">
        <f>IF(L114="Critical",45,IF(L114="High",32,IF(L114="Moderate",18,8)))+IF(K114&lt;2,20,IF(K114&lt;5,10,0))+IF(M114="None",0,18)+IF(G114="Strategic",12,IF(G114="Premium",8,4))</f>
        <v/>
      </c>
      <c r="P114" s="2">
        <f>IF(O114&gt;=75,"Escalate today",IF(O114&gt;=55,"Intervene in 72 hours",IF(O114&gt;=35,"Monitor daily","On track")))</f>
        <v/>
      </c>
    </row>
    <row r="115">
      <c r="A115" s="2" t="inlineStr">
        <is>
          <t>NGX-2026-0114</t>
        </is>
      </c>
      <c r="B115" s="2" t="inlineStr">
        <is>
          <t>Cottonseed Meal</t>
        </is>
      </c>
      <c r="C115" s="2" t="inlineStr">
        <is>
          <t>Pacific Northwest Rail</t>
        </is>
      </c>
      <c r="D115" s="2" t="inlineStr">
        <is>
          <t>St. Louis MO</t>
        </is>
      </c>
      <c r="E115" s="2" t="inlineStr">
        <is>
          <t>New Orleans Terminal</t>
        </is>
      </c>
      <c r="F115" s="2" t="inlineStr">
        <is>
          <t>Pioneer Feed Cooperative</t>
        </is>
      </c>
      <c r="G115" s="2" t="inlineStr">
        <is>
          <t>Standard</t>
        </is>
      </c>
      <c r="H115" s="2" t="inlineStr">
        <is>
          <t>2026-09-07</t>
        </is>
      </c>
      <c r="I115" s="2" t="n">
        <v>1450</v>
      </c>
      <c r="J115" s="2" t="n">
        <v>342200</v>
      </c>
      <c r="K115" s="2" t="n">
        <v>6</v>
      </c>
      <c r="L115" s="2" t="inlineStr">
        <is>
          <t>High</t>
        </is>
      </c>
      <c r="M115" s="2" t="inlineStr">
        <is>
          <t>Chain-of-custody gap</t>
        </is>
      </c>
      <c r="N115" s="2" t="inlineStr">
        <is>
          <t>Evan Brooks</t>
        </is>
      </c>
      <c r="O115" s="2">
        <f>IF(L115="Critical",45,IF(L115="High",32,IF(L115="Moderate",18,8)))+IF(K115&lt;2,20,IF(K115&lt;5,10,0))+IF(M115="None",0,18)+IF(G115="Strategic",12,IF(G115="Premium",8,4))</f>
        <v/>
      </c>
      <c r="P115" s="2">
        <f>IF(O115&gt;=75,"Escalate today",IF(O115&gt;=55,"Intervene in 72 hours",IF(O115&gt;=35,"Monitor daily","On track")))</f>
        <v/>
      </c>
    </row>
    <row r="116">
      <c r="A116" s="2" t="inlineStr">
        <is>
          <t>NGX-2026-0115</t>
        </is>
      </c>
      <c r="B116" s="2" t="inlineStr">
        <is>
          <t>Soft Red Winter Wheat</t>
        </is>
      </c>
      <c r="C116" s="2" t="inlineStr">
        <is>
          <t>Lower Mississippi Barge</t>
        </is>
      </c>
      <c r="D116" s="2" t="inlineStr">
        <is>
          <t>Memphis TN</t>
        </is>
      </c>
      <c r="E116" s="2" t="inlineStr">
        <is>
          <t>Bluewater Foods</t>
        </is>
      </c>
      <c r="F116" s="2" t="inlineStr">
        <is>
          <t>Southport Trading House</t>
        </is>
      </c>
      <c r="G116" s="2" t="inlineStr">
        <is>
          <t>Strategic</t>
        </is>
      </c>
      <c r="H116" s="2" t="inlineStr">
        <is>
          <t>2026-09-19</t>
        </is>
      </c>
      <c r="I116" s="2" t="n">
        <v>2103</v>
      </c>
      <c r="J116" s="2" t="n">
        <v>1175577</v>
      </c>
      <c r="K116" s="2" t="n">
        <v>6</v>
      </c>
      <c r="L116" s="2" t="inlineStr">
        <is>
          <t>Critical</t>
        </is>
      </c>
      <c r="M116" s="2" t="inlineStr">
        <is>
          <t>None</t>
        </is>
      </c>
      <c r="N116" s="2" t="inlineStr">
        <is>
          <t>Lena Ortiz</t>
        </is>
      </c>
      <c r="O116" s="2">
        <f>IF(L116="Critical",45,IF(L116="High",32,IF(L116="Moderate",18,8)))+IF(K116&lt;2,20,IF(K116&lt;5,10,0))+IF(M116="None",0,18)+IF(G116="Strategic",12,IF(G116="Premium",8,4))</f>
        <v/>
      </c>
      <c r="P116" s="2">
        <f>IF(O116&gt;=75,"Escalate today",IF(O116&gt;=55,"Intervene in 72 hours",IF(O116&gt;=35,"Monitor daily","On track")))</f>
        <v/>
      </c>
    </row>
    <row r="117">
      <c r="A117" s="2" t="inlineStr">
        <is>
          <t>NGX-2026-0116</t>
        </is>
      </c>
      <c r="B117" s="2" t="inlineStr">
        <is>
          <t>Corn</t>
        </is>
      </c>
      <c r="C117" s="2" t="inlineStr">
        <is>
          <t>Atlantic Container</t>
        </is>
      </c>
      <c r="D117" s="2" t="inlineStr">
        <is>
          <t>St. Louis MO</t>
        </is>
      </c>
      <c r="E117" s="2" t="inlineStr">
        <is>
          <t>Beacon Ingredients</t>
        </is>
      </c>
      <c r="F117" s="2" t="inlineStr">
        <is>
          <t>Southport Trading House</t>
        </is>
      </c>
      <c r="G117" s="2" t="inlineStr">
        <is>
          <t>Strategic</t>
        </is>
      </c>
      <c r="H117" s="2" t="inlineStr">
        <is>
          <t>2026-09-10</t>
        </is>
      </c>
      <c r="I117" s="2" t="n">
        <v>4012</v>
      </c>
      <c r="J117" s="2" t="n">
        <v>2142408</v>
      </c>
      <c r="K117" s="2" t="n">
        <v>7</v>
      </c>
      <c r="L117" s="2" t="inlineStr">
        <is>
          <t>Moderate</t>
        </is>
      </c>
      <c r="M117" s="2" t="inlineStr">
        <is>
          <t>Mass balance variance</t>
        </is>
      </c>
      <c r="N117" s="2" t="inlineStr">
        <is>
          <t>Evan Brooks</t>
        </is>
      </c>
      <c r="O117" s="2">
        <f>IF(L117="Critical",45,IF(L117="High",32,IF(L117="Moderate",18,8)))+IF(K117&lt;2,20,IF(K117&lt;5,10,0))+IF(M117="None",0,18)+IF(G117="Strategic",12,IF(G117="Premium",8,4))</f>
        <v/>
      </c>
      <c r="P117" s="2">
        <f>IF(O117&gt;=75,"Escalate today",IF(O117&gt;=55,"Intervene in 72 hours",IF(O117&gt;=35,"Monitor daily","On track")))</f>
        <v/>
      </c>
    </row>
    <row r="118">
      <c r="A118" s="2" t="inlineStr">
        <is>
          <t>NGX-2026-0117</t>
        </is>
      </c>
      <c r="B118" s="2" t="inlineStr">
        <is>
          <t>Canola</t>
        </is>
      </c>
      <c r="C118" s="2" t="inlineStr">
        <is>
          <t>Upper Midwest Feed</t>
        </is>
      </c>
      <c r="D118" s="2" t="inlineStr">
        <is>
          <t>Portland OR</t>
        </is>
      </c>
      <c r="E118" s="2" t="inlineStr">
        <is>
          <t>Crescent Bakery Group</t>
        </is>
      </c>
      <c r="F118" s="2" t="inlineStr">
        <is>
          <t>Southport Trading House</t>
        </is>
      </c>
      <c r="G118" s="2" t="inlineStr">
        <is>
          <t>Standard</t>
        </is>
      </c>
      <c r="H118" s="2" t="inlineStr">
        <is>
          <t>2026-09-19</t>
        </is>
      </c>
      <c r="I118" s="2" t="n">
        <v>825</v>
      </c>
      <c r="J118" s="2" t="n">
        <v>216150</v>
      </c>
      <c r="K118" s="2" t="n">
        <v>3</v>
      </c>
      <c r="L118" s="2" t="inlineStr">
        <is>
          <t>High</t>
        </is>
      </c>
      <c r="M118" s="2" t="inlineStr">
        <is>
          <t>Document review</t>
        </is>
      </c>
      <c r="N118" s="2" t="inlineStr">
        <is>
          <t>Noah Whitaker</t>
        </is>
      </c>
      <c r="O118" s="2">
        <f>IF(L118="Critical",45,IF(L118="High",32,IF(L118="Moderate",18,8)))+IF(K118&lt;2,20,IF(K118&lt;5,10,0))+IF(M118="None",0,18)+IF(G118="Strategic",12,IF(G118="Premium",8,4))</f>
        <v/>
      </c>
      <c r="P118" s="2">
        <f>IF(O118&gt;=75,"Escalate today",IF(O118&gt;=55,"Intervene in 72 hours",IF(O118&gt;=35,"Monitor daily","On track")))</f>
        <v/>
      </c>
    </row>
    <row r="119">
      <c r="A119" s="2" t="inlineStr">
        <is>
          <t>NGX-2026-0118</t>
        </is>
      </c>
      <c r="B119" s="2" t="inlineStr">
        <is>
          <t>Raw Sugar</t>
        </is>
      </c>
      <c r="C119" s="2" t="inlineStr">
        <is>
          <t>Atlantic Container</t>
        </is>
      </c>
      <c r="D119" s="2" t="inlineStr">
        <is>
          <t>Davenport IA</t>
        </is>
      </c>
      <c r="E119" s="2" t="inlineStr">
        <is>
          <t>New Orleans Terminal</t>
        </is>
      </c>
      <c r="F119" s="2" t="inlineStr">
        <is>
          <t>Pioneer Feed Cooperative</t>
        </is>
      </c>
      <c r="G119" s="2" t="inlineStr">
        <is>
          <t>Strategic</t>
        </is>
      </c>
      <c r="H119" s="2" t="inlineStr">
        <is>
          <t>2026-09-12</t>
        </is>
      </c>
      <c r="I119" s="2" t="n">
        <v>1066</v>
      </c>
      <c r="J119" s="2" t="n">
        <v>535132</v>
      </c>
      <c r="K119" s="2" t="n">
        <v>12</v>
      </c>
      <c r="L119" s="2" t="inlineStr">
        <is>
          <t>Critical</t>
        </is>
      </c>
      <c r="M119" s="2" t="inlineStr">
        <is>
          <t>Document review</t>
        </is>
      </c>
      <c r="N119" s="2" t="inlineStr">
        <is>
          <t>Maya Chen</t>
        </is>
      </c>
      <c r="O119" s="2">
        <f>IF(L119="Critical",45,IF(L119="High",32,IF(L119="Moderate",18,8)))+IF(K119&lt;2,20,IF(K119&lt;5,10,0))+IF(M119="None",0,18)+IF(G119="Strategic",12,IF(G119="Premium",8,4))</f>
        <v/>
      </c>
      <c r="P119" s="2">
        <f>IF(O119&gt;=75,"Escalate today",IF(O119&gt;=55,"Intervene in 72 hours",IF(O119&gt;=35,"Monitor daily","On track")))</f>
        <v/>
      </c>
    </row>
    <row r="120">
      <c r="A120" s="2" t="inlineStr">
        <is>
          <t>NGX-2026-0119</t>
        </is>
      </c>
      <c r="B120" s="2" t="inlineStr">
        <is>
          <t>Rice</t>
        </is>
      </c>
      <c r="C120" s="2" t="inlineStr">
        <is>
          <t>Pacific Northwest Rail</t>
        </is>
      </c>
      <c r="D120" s="2" t="inlineStr">
        <is>
          <t>Omaha NE</t>
        </is>
      </c>
      <c r="E120" s="2" t="inlineStr">
        <is>
          <t>Beacon Ingredients</t>
        </is>
      </c>
      <c r="F120" s="2" t="inlineStr">
        <is>
          <t>Pioneer Feed Cooperative</t>
        </is>
      </c>
      <c r="G120" s="2" t="inlineStr">
        <is>
          <t>Strategic</t>
        </is>
      </c>
      <c r="H120" s="2" t="inlineStr">
        <is>
          <t>2026-09-11</t>
        </is>
      </c>
      <c r="I120" s="2" t="n">
        <v>2694</v>
      </c>
      <c r="J120" s="2" t="n">
        <v>1298508</v>
      </c>
      <c r="K120" s="2" t="n">
        <v>8</v>
      </c>
      <c r="L120" s="2" t="inlineStr">
        <is>
          <t>Critical</t>
        </is>
      </c>
      <c r="M120" s="2" t="inlineStr">
        <is>
          <t>Document review</t>
        </is>
      </c>
      <c r="N120" s="2" t="inlineStr">
        <is>
          <t>Noah Whitaker</t>
        </is>
      </c>
      <c r="O120" s="2">
        <f>IF(L120="Critical",45,IF(L120="High",32,IF(L120="Moderate",18,8)))+IF(K120&lt;2,20,IF(K120&lt;5,10,0))+IF(M120="None",0,18)+IF(G120="Strategic",12,IF(G120="Premium",8,4))</f>
        <v/>
      </c>
      <c r="P120" s="2">
        <f>IF(O120&gt;=75,"Escalate today",IF(O120&gt;=55,"Intervene in 72 hours",IF(O120&gt;=35,"Monitor daily","On track")))</f>
        <v/>
      </c>
    </row>
    <row r="121">
      <c r="A121" s="2" t="inlineStr">
        <is>
          <t>NGX-2026-0120</t>
        </is>
      </c>
      <c r="B121" s="2" t="inlineStr">
        <is>
          <t>Cottonseed Meal</t>
        </is>
      </c>
      <c r="C121" s="2" t="inlineStr">
        <is>
          <t>Pacific Northwest Rail</t>
        </is>
      </c>
      <c r="D121" s="2" t="inlineStr">
        <is>
          <t>Toledo OH</t>
        </is>
      </c>
      <c r="E121" s="2" t="inlineStr">
        <is>
          <t>Crescent Bakery Group</t>
        </is>
      </c>
      <c r="F121" s="2" t="inlineStr">
        <is>
          <t>Evergreen Nutrition</t>
        </is>
      </c>
      <c r="G121" s="2" t="inlineStr">
        <is>
          <t>Strategic</t>
        </is>
      </c>
      <c r="H121" s="2" t="inlineStr">
        <is>
          <t>2026-09-21</t>
        </is>
      </c>
      <c r="I121" s="2" t="n">
        <v>3827</v>
      </c>
      <c r="J121" s="2" t="n">
        <v>1297353</v>
      </c>
      <c r="K121" s="2" t="n">
        <v>5</v>
      </c>
      <c r="L121" s="2" t="inlineStr">
        <is>
          <t>Critical</t>
        </is>
      </c>
      <c r="M121" s="2" t="inlineStr">
        <is>
          <t>Document review</t>
        </is>
      </c>
      <c r="N121" s="2" t="inlineStr">
        <is>
          <t>Maya Chen</t>
        </is>
      </c>
      <c r="O121" s="2">
        <f>IF(L121="Critical",45,IF(L121="High",32,IF(L121="Moderate",18,8)))+IF(K121&lt;2,20,IF(K121&lt;5,10,0))+IF(M121="None",0,18)+IF(G121="Strategic",12,IF(G121="Premium",8,4))</f>
        <v/>
      </c>
      <c r="P121" s="2">
        <f>IF(O121&gt;=75,"Escalate today",IF(O121&gt;=55,"Intervene in 72 hours",IF(O121&gt;=35,"Monitor daily","On track")))</f>
        <v/>
      </c>
    </row>
  </sheetData>
  <autoFilter ref="A1:P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3" t="inlineStr">
        <is>
          <t>Classification</t>
        </is>
      </c>
      <c r="B1" s="3" t="inlineStr">
        <is>
          <t>Public</t>
        </is>
      </c>
    </row>
    <row r="2">
      <c r="A2" s="2" t="n"/>
      <c r="B2" s="2" t="n"/>
    </row>
    <row r="3">
      <c r="A3" s="2" t="inlineStr">
        <is>
          <t>Delay Risk</t>
        </is>
      </c>
      <c r="B3" s="2" t="inlineStr">
        <is>
          <t>Score Basis</t>
        </is>
      </c>
    </row>
    <row r="4">
      <c r="A4" s="2" t="inlineStr">
        <is>
          <t>Low</t>
        </is>
      </c>
      <c r="B4" s="2" t="n">
        <v>8</v>
      </c>
    </row>
    <row r="5">
      <c r="A5" s="2" t="inlineStr">
        <is>
          <t>Moderate</t>
        </is>
      </c>
      <c r="B5" s="2" t="n">
        <v>18</v>
      </c>
    </row>
    <row r="6">
      <c r="A6" s="2" t="inlineStr">
        <is>
          <t>High</t>
        </is>
      </c>
      <c r="B6" s="2" t="n">
        <v>32</v>
      </c>
    </row>
    <row r="7">
      <c r="A7" s="2" t="inlineStr">
        <is>
          <t>Critical</t>
        </is>
      </c>
      <c r="B7" s="2" t="n">
        <v>45</v>
      </c>
    </row>
    <row r="8">
      <c r="A8" s="2" t="n"/>
      <c r="B8" s="2" t="n"/>
    </row>
    <row r="9">
      <c r="A9" s="2" t="inlineStr">
        <is>
          <t>Customer Tier</t>
        </is>
      </c>
      <c r="B9" s="2" t="inlineStr">
        <is>
          <t>Score Basis</t>
        </is>
      </c>
    </row>
    <row r="10">
      <c r="A10" s="2" t="inlineStr">
        <is>
          <t>Strategic</t>
        </is>
      </c>
      <c r="B10" s="2" t="n">
        <v>12</v>
      </c>
    </row>
    <row r="11">
      <c r="A11" s="2" t="inlineStr">
        <is>
          <t>Premium</t>
        </is>
      </c>
      <c r="B11" s="2" t="n">
        <v>8</v>
      </c>
    </row>
    <row r="12">
      <c r="A12" s="2" t="inlineStr">
        <is>
          <t>Standard</t>
        </is>
      </c>
      <c r="B12" s="2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3" t="inlineStr">
        <is>
          <t>Classification</t>
        </is>
      </c>
      <c r="B1" s="3" t="inlineStr">
        <is>
          <t>Public</t>
        </is>
      </c>
      <c r="C1" s="3" t="n"/>
      <c r="D1" s="3" t="n"/>
      <c r="E1" s="3" t="n"/>
    </row>
    <row r="2">
      <c r="A2" s="2" t="n"/>
      <c r="B2" s="2" t="n"/>
      <c r="C2" s="2" t="n"/>
      <c r="D2" s="2" t="n"/>
      <c r="E2" s="2" t="n"/>
    </row>
    <row r="3">
      <c r="A3" s="2" t="inlineStr">
        <is>
          <t>Metric</t>
        </is>
      </c>
      <c r="B3" s="2" t="inlineStr">
        <is>
          <t>Value</t>
        </is>
      </c>
      <c r="C3" s="2" t="n"/>
      <c r="D3" s="2" t="inlineStr">
        <is>
          <t>Corridor</t>
        </is>
      </c>
      <c r="E3" s="2" t="inlineStr">
        <is>
          <t>Shipment Count</t>
        </is>
      </c>
    </row>
    <row r="4">
      <c r="A4" s="2" t="inlineStr">
        <is>
          <t>Total shipments</t>
        </is>
      </c>
      <c r="B4" s="2">
        <f>COUNTA('Shipment Register'!A2:A121)</f>
        <v/>
      </c>
      <c r="C4" s="2" t="n"/>
      <c r="D4" s="2" t="inlineStr">
        <is>
          <t>Gulf Export</t>
        </is>
      </c>
      <c r="E4" s="2">
        <f>COUNTIF('Shipment Register'!C2:C121,D4)</f>
        <v/>
      </c>
    </row>
    <row r="5">
      <c r="A5" s="2" t="inlineStr">
        <is>
          <t>Total contract value</t>
        </is>
      </c>
      <c r="B5" s="2">
        <f>SUM('Shipment Register'!J2:J121)</f>
        <v/>
      </c>
      <c r="C5" s="2" t="n"/>
      <c r="D5" s="2" t="inlineStr">
        <is>
          <t>Pacific Northwest Rail</t>
        </is>
      </c>
      <c r="E5" s="2">
        <f>COUNTIF('Shipment Register'!C2:C121,D5)</f>
        <v/>
      </c>
    </row>
    <row r="6">
      <c r="A6" s="2" t="inlineStr">
        <is>
          <t>Escalate today</t>
        </is>
      </c>
      <c r="B6" s="2">
        <f>COUNTIF('Shipment Register'!P2:P121,"Escalate today")</f>
        <v/>
      </c>
      <c r="C6" s="2" t="n"/>
      <c r="D6" s="2" t="inlineStr">
        <is>
          <t>Upper Midwest Feed</t>
        </is>
      </c>
      <c r="E6" s="2">
        <f>COUNTIF('Shipment Register'!C2:C121,D6)</f>
        <v/>
      </c>
    </row>
    <row r="7">
      <c r="A7" s="2" t="inlineStr">
        <is>
          <t>Intervene in 72 hours</t>
        </is>
      </c>
      <c r="B7" s="2">
        <f>COUNTIF('Shipment Register'!P2:P121,"Intervene in 72 hours")</f>
        <v/>
      </c>
      <c r="C7" s="2" t="n"/>
      <c r="D7" s="2" t="inlineStr">
        <is>
          <t>Atlantic Container</t>
        </is>
      </c>
      <c r="E7" s="2">
        <f>COUNTIF('Shipment Register'!C2:C121,D7)</f>
        <v/>
      </c>
    </row>
    <row r="8">
      <c r="A8" s="2" t="inlineStr">
        <is>
          <t>Sustainability exceptions</t>
        </is>
      </c>
      <c r="B8" s="2">
        <f>COUNTIF('Shipment Register'!M2:M121,"&lt;&gt;None")</f>
        <v/>
      </c>
      <c r="C8" s="2" t="n"/>
      <c r="D8" s="2" t="inlineStr">
        <is>
          <t>Lower Mississippi Barge</t>
        </is>
      </c>
      <c r="E8" s="2">
        <f>COUNTIF('Shipment Register'!C2:C121,D8)</f>
        <v/>
      </c>
    </row>
    <row r="9">
      <c r="A9" s="2" t="n"/>
      <c r="B9" s="2" t="n"/>
      <c r="C9" s="2" t="n"/>
      <c r="D9" s="2" t="inlineStr">
        <is>
          <t>Interior Elevator Transfer</t>
        </is>
      </c>
      <c r="E9" s="2">
        <f>COUNTIF('Shipment Register'!C2:C121,D9)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2026-09-04T15:46:58Z</dcterms:created>
  <dcterms:modified xmlns:dcterms="http://purl.org/dc/terms/" xmlns:xsi="http://www.w3.org/2001/XMLSchema-instance" xsi:type="dcterms:W3CDTF">2026-09-04T15:46:58Z</dcterms:modified>
</cp:coreProperties>
</file>